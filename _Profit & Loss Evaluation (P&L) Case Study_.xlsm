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0" yWindow="0" windowWidth="15372" windowHeight="5280" firstSheet="11" activeTab="13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externalReferences>
    <externalReference r:id="rId16"/>
    <externalReference r:id="rId17"/>
    <externalReference r:id="rId18"/>
    <externalReference r:id="rId19"/>
  </externalReferences>
  <definedNames>
    <definedName name="_xlnm._FilterDatabase" localSheetId="3" hidden="1">'1.1 FY2016'!$B$4:$F$61</definedName>
    <definedName name="_xlnm._FilterDatabase" localSheetId="4" hidden="1">'1.2 FY2017'!$B$4:$F$86</definedName>
    <definedName name="_xlnm._FilterDatabase" localSheetId="5" hidden="1">'1.3 FY2018'!$B$4:$F$78</definedName>
    <definedName name="_xlnm._FilterDatabase" localSheetId="7" hidden="1">'2.1 Database'!$B$3:$H$109</definedName>
    <definedName name="_xlchart.v1.0" hidden="1">'[4]3.4 Bridge Chart'!$B$4:$B$8</definedName>
    <definedName name="_xlchart.v1.1" hidden="1">'[4]3.4 Bridge Chart'!$C$4:$C$8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0" i="27" l="1"/>
  <c r="C7" i="27"/>
  <c r="C6" i="27"/>
  <c r="C5" i="27"/>
  <c r="C8" i="27"/>
  <c r="C4" i="27"/>
  <c r="D1048571" i="27"/>
  <c r="E1048569" i="27"/>
  <c r="D1048569" i="27"/>
  <c r="C1048569" i="27"/>
  <c r="C1048568" i="27"/>
  <c r="D1048568" i="27" s="1"/>
  <c r="E1048568" i="27" s="1"/>
  <c r="F1048569" i="27" s="1"/>
  <c r="B1048568" i="27"/>
  <c r="E3" i="26" l="1"/>
  <c r="D3" i="26"/>
  <c r="C3" i="26"/>
  <c r="E4" i="28"/>
  <c r="E6" i="28"/>
  <c r="D6" i="28"/>
  <c r="C6" i="28"/>
  <c r="E5" i="28"/>
  <c r="D5" i="28"/>
  <c r="C5" i="28"/>
  <c r="D4" i="28"/>
  <c r="C4" i="28"/>
  <c r="B6" i="28"/>
  <c r="B5" i="28"/>
  <c r="B4" i="28"/>
  <c r="E3" i="28"/>
  <c r="D3" i="28"/>
  <c r="C3" i="28"/>
  <c r="D7" i="29"/>
  <c r="E7" i="29"/>
  <c r="C7" i="29"/>
  <c r="C5" i="29"/>
  <c r="D5" i="29"/>
  <c r="E5" i="29"/>
  <c r="C6" i="29"/>
  <c r="D6" i="29"/>
  <c r="E6" i="29"/>
  <c r="D4" i="29"/>
  <c r="E4" i="29"/>
  <c r="C4" i="29"/>
  <c r="E3" i="29"/>
  <c r="D3" i="29"/>
  <c r="C3" i="29"/>
  <c r="D30" i="21" l="1"/>
  <c r="E30" i="21"/>
  <c r="D31" i="21"/>
  <c r="E31" i="21"/>
  <c r="C31" i="21"/>
  <c r="C30" i="21"/>
  <c r="D29" i="21"/>
  <c r="E29" i="21"/>
  <c r="C29" i="21"/>
  <c r="H24" i="21"/>
  <c r="G24" i="21"/>
  <c r="H23" i="21"/>
  <c r="G23" i="21"/>
  <c r="H22" i="21"/>
  <c r="G22" i="21"/>
  <c r="H21" i="21"/>
  <c r="G21" i="21"/>
  <c r="H20" i="21"/>
  <c r="G20" i="21"/>
  <c r="H19" i="21"/>
  <c r="G19" i="21"/>
  <c r="H18" i="21"/>
  <c r="G18" i="21"/>
  <c r="H17" i="21"/>
  <c r="G17" i="21"/>
  <c r="H16" i="21"/>
  <c r="G16" i="21"/>
  <c r="H15" i="21"/>
  <c r="G15" i="21"/>
  <c r="H14" i="21"/>
  <c r="G14" i="21"/>
  <c r="H13" i="21"/>
  <c r="G13" i="21"/>
  <c r="H12" i="21"/>
  <c r="G12" i="21"/>
  <c r="H11" i="21"/>
  <c r="G11" i="21"/>
  <c r="H10" i="21"/>
  <c r="G10" i="21"/>
  <c r="H9" i="21"/>
  <c r="G9" i="21"/>
  <c r="H8" i="21"/>
  <c r="G8" i="21"/>
  <c r="H7" i="21"/>
  <c r="G7" i="21"/>
  <c r="H6" i="21"/>
  <c r="G6" i="21"/>
  <c r="H5" i="21"/>
  <c r="G5" i="21"/>
  <c r="H4" i="21"/>
  <c r="G4" i="21"/>
  <c r="D24" i="21" l="1"/>
  <c r="E24" i="21"/>
  <c r="C24" i="21"/>
  <c r="D22" i="21"/>
  <c r="E22" i="21"/>
  <c r="C22" i="21"/>
  <c r="D19" i="21"/>
  <c r="E19" i="21"/>
  <c r="C19" i="21"/>
  <c r="D17" i="21"/>
  <c r="E17" i="21"/>
  <c r="C17" i="21"/>
  <c r="D9" i="21"/>
  <c r="E9" i="21"/>
  <c r="C9" i="21"/>
  <c r="D7" i="21"/>
  <c r="E7" i="21"/>
  <c r="C7" i="21"/>
  <c r="C8" i="21"/>
  <c r="D8" i="21"/>
  <c r="E8" i="21"/>
  <c r="C10" i="21"/>
  <c r="D10" i="21"/>
  <c r="E10" i="21"/>
  <c r="C11" i="21"/>
  <c r="D11" i="21"/>
  <c r="E11" i="21"/>
  <c r="C12" i="21"/>
  <c r="D12" i="21"/>
  <c r="E12" i="21"/>
  <c r="C13" i="21"/>
  <c r="D13" i="21"/>
  <c r="E13" i="21"/>
  <c r="C14" i="21"/>
  <c r="D14" i="21"/>
  <c r="E14" i="21"/>
  <c r="C15" i="21"/>
  <c r="D15" i="21"/>
  <c r="E15" i="21"/>
  <c r="C16" i="21"/>
  <c r="D16" i="21"/>
  <c r="E16" i="21"/>
  <c r="C18" i="21"/>
  <c r="D18" i="21"/>
  <c r="E18" i="21"/>
  <c r="C20" i="21"/>
  <c r="D20" i="21"/>
  <c r="E20" i="21"/>
  <c r="C21" i="21"/>
  <c r="D21" i="21"/>
  <c r="E21" i="21"/>
  <c r="C23" i="21"/>
  <c r="D23" i="21"/>
  <c r="E23" i="21"/>
  <c r="C5" i="21"/>
  <c r="D5" i="21"/>
  <c r="E5" i="21"/>
  <c r="C6" i="21"/>
  <c r="D6" i="21"/>
  <c r="E6" i="21"/>
  <c r="D4" i="21"/>
  <c r="E4" i="21"/>
  <c r="C4" i="21"/>
  <c r="H94" i="10"/>
  <c r="H60" i="10"/>
  <c r="G60" i="10"/>
  <c r="F94" i="10"/>
  <c r="G94" i="10"/>
  <c r="F60" i="10"/>
  <c r="G108" i="10" l="1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H108" i="10" l="1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C96" i="10"/>
  <c r="D96" i="10"/>
  <c r="E96" i="10"/>
  <c r="C97" i="10"/>
  <c r="D97" i="10"/>
  <c r="E97" i="10"/>
  <c r="C98" i="10"/>
  <c r="D98" i="10"/>
  <c r="E98" i="10"/>
  <c r="C99" i="10"/>
  <c r="D99" i="10"/>
  <c r="E99" i="10"/>
  <c r="C100" i="10"/>
  <c r="D100" i="10"/>
  <c r="E100" i="10"/>
  <c r="C101" i="10"/>
  <c r="D101" i="10"/>
  <c r="E101" i="10"/>
  <c r="C102" i="10"/>
  <c r="D102" i="10"/>
  <c r="E102" i="10"/>
  <c r="C103" i="10"/>
  <c r="D103" i="10"/>
  <c r="E103" i="10"/>
  <c r="C104" i="10"/>
  <c r="D104" i="10"/>
  <c r="E104" i="10"/>
  <c r="C105" i="10"/>
  <c r="D105" i="10"/>
  <c r="E105" i="10"/>
  <c r="C106" i="10"/>
  <c r="D106" i="10"/>
  <c r="E106" i="10"/>
  <c r="C107" i="10"/>
  <c r="D107" i="10"/>
  <c r="E107" i="10"/>
  <c r="C108" i="10"/>
  <c r="D108" i="10"/>
  <c r="E108" i="10"/>
  <c r="D95" i="10"/>
  <c r="E95" i="10"/>
  <c r="C95" i="10"/>
  <c r="C62" i="10"/>
  <c r="D62" i="10"/>
  <c r="E62" i="10"/>
  <c r="C63" i="10"/>
  <c r="D63" i="10"/>
  <c r="E63" i="10"/>
  <c r="C64" i="10"/>
  <c r="D64" i="10"/>
  <c r="E64" i="10"/>
  <c r="C65" i="10"/>
  <c r="D65" i="10"/>
  <c r="E65" i="10"/>
  <c r="C66" i="10"/>
  <c r="D66" i="10"/>
  <c r="E66" i="10"/>
  <c r="C67" i="10"/>
  <c r="D67" i="10"/>
  <c r="E67" i="10"/>
  <c r="C68" i="10"/>
  <c r="D68" i="10"/>
  <c r="E68" i="10"/>
  <c r="C69" i="10"/>
  <c r="D69" i="10"/>
  <c r="E69" i="10"/>
  <c r="C70" i="10"/>
  <c r="D70" i="10"/>
  <c r="E70" i="10"/>
  <c r="C71" i="10"/>
  <c r="D71" i="10"/>
  <c r="E71" i="10"/>
  <c r="C72" i="10"/>
  <c r="D72" i="10"/>
  <c r="E72" i="10"/>
  <c r="C73" i="10"/>
  <c r="D73" i="10"/>
  <c r="E73" i="10"/>
  <c r="C74" i="10"/>
  <c r="D74" i="10"/>
  <c r="E74" i="10"/>
  <c r="C75" i="10"/>
  <c r="D75" i="10"/>
  <c r="E75" i="10"/>
  <c r="C76" i="10"/>
  <c r="D76" i="10"/>
  <c r="E76" i="10"/>
  <c r="C77" i="10"/>
  <c r="D77" i="10"/>
  <c r="E77" i="10"/>
  <c r="C78" i="10"/>
  <c r="D78" i="10"/>
  <c r="E78" i="10"/>
  <c r="C79" i="10"/>
  <c r="D79" i="10"/>
  <c r="E79" i="10"/>
  <c r="C80" i="10"/>
  <c r="D80" i="10"/>
  <c r="E80" i="10"/>
  <c r="C81" i="10"/>
  <c r="D81" i="10"/>
  <c r="E81" i="10"/>
  <c r="C82" i="10"/>
  <c r="D82" i="10"/>
  <c r="E82" i="10"/>
  <c r="C83" i="10"/>
  <c r="D83" i="10"/>
  <c r="E83" i="10"/>
  <c r="C84" i="10"/>
  <c r="D84" i="10"/>
  <c r="E84" i="10"/>
  <c r="C85" i="10"/>
  <c r="D85" i="10"/>
  <c r="E85" i="10"/>
  <c r="C86" i="10"/>
  <c r="D86" i="10"/>
  <c r="E86" i="10"/>
  <c r="C87" i="10"/>
  <c r="D87" i="10"/>
  <c r="E87" i="10"/>
  <c r="C88" i="10"/>
  <c r="D88" i="10"/>
  <c r="E88" i="10"/>
  <c r="C89" i="10"/>
  <c r="D89" i="10"/>
  <c r="E89" i="10"/>
  <c r="C90" i="10"/>
  <c r="D90" i="10"/>
  <c r="E90" i="10"/>
  <c r="C91" i="10"/>
  <c r="D91" i="10"/>
  <c r="E91" i="10"/>
  <c r="C92" i="10"/>
  <c r="D92" i="10"/>
  <c r="E92" i="10"/>
  <c r="C93" i="10"/>
  <c r="D93" i="10"/>
  <c r="E93" i="10"/>
  <c r="C94" i="10"/>
  <c r="D94" i="10"/>
  <c r="E94" i="10"/>
  <c r="D61" i="10"/>
  <c r="E61" i="10"/>
  <c r="C61" i="10"/>
  <c r="C5" i="10"/>
  <c r="D5" i="10"/>
  <c r="E5" i="10"/>
  <c r="C6" i="10"/>
  <c r="D6" i="10"/>
  <c r="E6" i="10"/>
  <c r="C7" i="10"/>
  <c r="D7" i="10"/>
  <c r="E7" i="10"/>
  <c r="C8" i="10"/>
  <c r="D8" i="10"/>
  <c r="E8" i="10"/>
  <c r="C9" i="10"/>
  <c r="D9" i="10"/>
  <c r="E9" i="10"/>
  <c r="C10" i="10"/>
  <c r="D10" i="10"/>
  <c r="E10" i="10"/>
  <c r="C11" i="10"/>
  <c r="D11" i="10"/>
  <c r="E11" i="10"/>
  <c r="C12" i="10"/>
  <c r="D12" i="10"/>
  <c r="E12" i="10"/>
  <c r="C13" i="10"/>
  <c r="D13" i="10"/>
  <c r="E13" i="10"/>
  <c r="C14" i="10"/>
  <c r="D14" i="10"/>
  <c r="E14" i="10"/>
  <c r="C15" i="10"/>
  <c r="D15" i="10"/>
  <c r="E15" i="10"/>
  <c r="C16" i="10"/>
  <c r="D16" i="10"/>
  <c r="E16" i="10"/>
  <c r="C17" i="10"/>
  <c r="D17" i="10"/>
  <c r="E17" i="10"/>
  <c r="C18" i="10"/>
  <c r="D18" i="10"/>
  <c r="E18" i="10"/>
  <c r="C19" i="10"/>
  <c r="D19" i="10"/>
  <c r="E19" i="10"/>
  <c r="C20" i="10"/>
  <c r="D20" i="10"/>
  <c r="E20" i="10"/>
  <c r="C21" i="10"/>
  <c r="D21" i="10"/>
  <c r="E21" i="10"/>
  <c r="C22" i="10"/>
  <c r="D22" i="10"/>
  <c r="E22" i="10"/>
  <c r="C23" i="10"/>
  <c r="D23" i="10"/>
  <c r="E23" i="10"/>
  <c r="C24" i="10"/>
  <c r="D24" i="10"/>
  <c r="E24" i="10"/>
  <c r="C25" i="10"/>
  <c r="D25" i="10"/>
  <c r="E25" i="10"/>
  <c r="C26" i="10"/>
  <c r="D26" i="10"/>
  <c r="E26" i="10"/>
  <c r="C27" i="10"/>
  <c r="D27" i="10"/>
  <c r="E27" i="10"/>
  <c r="C28" i="10"/>
  <c r="D28" i="10"/>
  <c r="E28" i="10"/>
  <c r="C29" i="10"/>
  <c r="D29" i="10"/>
  <c r="E29" i="10"/>
  <c r="C30" i="10"/>
  <c r="D30" i="10"/>
  <c r="E30" i="10"/>
  <c r="C31" i="10"/>
  <c r="D31" i="10"/>
  <c r="E31" i="10"/>
  <c r="C32" i="10"/>
  <c r="D32" i="10"/>
  <c r="E32" i="10"/>
  <c r="C33" i="10"/>
  <c r="D33" i="10"/>
  <c r="E33" i="10"/>
  <c r="C34" i="10"/>
  <c r="D34" i="10"/>
  <c r="E34" i="10"/>
  <c r="C35" i="10"/>
  <c r="D35" i="10"/>
  <c r="E35" i="10"/>
  <c r="C36" i="10"/>
  <c r="D36" i="10"/>
  <c r="E36" i="10"/>
  <c r="C37" i="10"/>
  <c r="D37" i="10"/>
  <c r="E37" i="10"/>
  <c r="C38" i="10"/>
  <c r="D38" i="10"/>
  <c r="E38" i="10"/>
  <c r="C39" i="10"/>
  <c r="D39" i="10"/>
  <c r="E39" i="10"/>
  <c r="C40" i="10"/>
  <c r="D40" i="10"/>
  <c r="E40" i="10"/>
  <c r="C41" i="10"/>
  <c r="D41" i="10"/>
  <c r="E41" i="10"/>
  <c r="C42" i="10"/>
  <c r="D42" i="10"/>
  <c r="E42" i="10"/>
  <c r="C43" i="10"/>
  <c r="D43" i="10"/>
  <c r="E43" i="10"/>
  <c r="C44" i="10"/>
  <c r="D44" i="10"/>
  <c r="E44" i="10"/>
  <c r="C45" i="10"/>
  <c r="D45" i="10"/>
  <c r="E45" i="10"/>
  <c r="C46" i="10"/>
  <c r="D46" i="10"/>
  <c r="E46" i="10"/>
  <c r="C47" i="10"/>
  <c r="D47" i="10"/>
  <c r="E47" i="10"/>
  <c r="C48" i="10"/>
  <c r="D48" i="10"/>
  <c r="E48" i="10"/>
  <c r="C49" i="10"/>
  <c r="D49" i="10"/>
  <c r="E49" i="10"/>
  <c r="C50" i="10"/>
  <c r="D50" i="10"/>
  <c r="E50" i="10"/>
  <c r="C51" i="10"/>
  <c r="D51" i="10"/>
  <c r="E51" i="10"/>
  <c r="C52" i="10"/>
  <c r="D52" i="10"/>
  <c r="E52" i="10"/>
  <c r="C53" i="10"/>
  <c r="D53" i="10"/>
  <c r="E53" i="10"/>
  <c r="C54" i="10"/>
  <c r="D54" i="10"/>
  <c r="E54" i="10"/>
  <c r="C55" i="10"/>
  <c r="D55" i="10"/>
  <c r="E55" i="10"/>
  <c r="C56" i="10"/>
  <c r="D56" i="10"/>
  <c r="E56" i="10"/>
  <c r="C57" i="10"/>
  <c r="D57" i="10"/>
  <c r="E57" i="10"/>
  <c r="C58" i="10"/>
  <c r="D58" i="10"/>
  <c r="E58" i="10"/>
  <c r="C59" i="10"/>
  <c r="D59" i="10"/>
  <c r="E59" i="10"/>
  <c r="C60" i="10"/>
  <c r="D60" i="10"/>
  <c r="E60" i="10"/>
  <c r="H109" i="10" l="1"/>
  <c r="F109" i="10"/>
  <c r="G109" i="10"/>
  <c r="D4" i="10" l="1"/>
  <c r="E4" i="10"/>
  <c r="C4" i="10"/>
</calcChain>
</file>

<file path=xl/sharedStrings.xml><?xml version="1.0" encoding="utf-8"?>
<sst xmlns="http://schemas.openxmlformats.org/spreadsheetml/2006/main" count="979" uniqueCount="274">
  <si>
    <t>Partner company number</t>
  </si>
  <si>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</si>
  <si>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</si>
  <si>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</si>
  <si>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</si>
  <si>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</si>
  <si>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</si>
  <si>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</si>
  <si>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</si>
  <si>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</si>
  <si>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</si>
  <si>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</si>
  <si>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</si>
  <si>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</si>
  <si>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</si>
  <si>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</si>
  <si>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</si>
  <si>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</si>
  <si>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</si>
  <si>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</si>
  <si>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</si>
  <si>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</si>
  <si>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</si>
  <si>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</si>
  <si>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</si>
  <si>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</si>
  <si>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</si>
  <si>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</si>
  <si>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</si>
  <si>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</si>
  <si>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</si>
  <si>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</si>
  <si>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</si>
  <si>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</si>
  <si>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</si>
  <si>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</si>
  <si>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</si>
  <si>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</si>
  <si>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</si>
  <si>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</si>
  <si>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</si>
  <si>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</si>
  <si>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</si>
  <si>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</si>
  <si>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</si>
  <si>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</si>
  <si>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</si>
  <si>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</si>
  <si>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</si>
  <si>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</si>
  <si>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</si>
  <si>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</si>
  <si>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</si>
  <si>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</si>
  <si>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</si>
  <si>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</si>
  <si>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</si>
  <si>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</si>
  <si>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</si>
  <si>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</si>
  <si>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</si>
  <si>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</si>
  <si>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</si>
  <si>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</si>
  <si>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</si>
  <si>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</si>
  <si>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</si>
  <si>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</si>
  <si>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</si>
  <si>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</si>
  <si>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</si>
  <si>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</si>
  <si>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</si>
  <si>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</si>
  <si>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</si>
  <si>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</si>
  <si>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</si>
  <si>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</si>
  <si>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</si>
  <si>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</si>
  <si>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</si>
  <si>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</si>
  <si>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</si>
  <si>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</si>
  <si>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</si>
  <si>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</si>
  <si>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</si>
  <si>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</si>
  <si>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</si>
  <si>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</si>
  <si>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</si>
  <si>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</si>
  <si>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</si>
  <si>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</si>
  <si>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</si>
  <si>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</si>
  <si>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</si>
  <si>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</si>
  <si>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</si>
  <si>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</si>
  <si>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</si>
  <si>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</si>
  <si>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</si>
  <si>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</si>
  <si>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</si>
  <si>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</si>
  <si>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</si>
  <si>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</si>
  <si>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</si>
  <si>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</si>
  <si>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</si>
  <si>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</si>
  <si>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</si>
  <si>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</si>
  <si>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</si>
  <si>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</si>
  <si>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P&amp;L Account</t>
  </si>
  <si>
    <t>Partner Company Name</t>
  </si>
  <si>
    <t>Account Number</t>
  </si>
  <si>
    <t>Unique Code</t>
  </si>
  <si>
    <t>20200000001007</t>
  </si>
  <si>
    <t>2001110000111111</t>
  </si>
  <si>
    <t>2001190000111111</t>
  </si>
  <si>
    <t>20200000001009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</si>
  <si>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</si>
  <si>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</si>
  <si>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</si>
  <si>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</si>
  <si>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</si>
  <si>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</si>
  <si>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</si>
  <si>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</si>
  <si>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</si>
  <si>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</si>
  <si>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</si>
  <si>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</si>
  <si>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</si>
  <si>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</si>
  <si>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</si>
  <si>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</si>
  <si>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</si>
  <si>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</si>
  <si>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</si>
  <si>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</si>
  <si>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</si>
  <si>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</si>
  <si>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</si>
  <si>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</si>
  <si>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</si>
  <si>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</si>
  <si>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</si>
  <si>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</si>
  <si>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</si>
  <si>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</si>
  <si>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</si>
  <si>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</si>
  <si>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</si>
  <si>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</si>
  <si>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</si>
  <si>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</si>
  <si>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</si>
  <si>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</si>
  <si>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</si>
  <si>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</si>
  <si>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</si>
  <si>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</si>
  <si>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</si>
  <si>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</si>
  <si>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</si>
  <si>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</si>
  <si>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</si>
  <si>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</si>
  <si>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</si>
  <si>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</si>
  <si>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</si>
  <si>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</si>
  <si>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</si>
  <si>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Code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</si>
  <si>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</si>
  <si>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</si>
  <si>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</si>
  <si>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</si>
  <si>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</si>
  <si>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</si>
  <si>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</si>
  <si>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</si>
  <si>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</si>
  <si>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</si>
  <si>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</si>
  <si>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</si>
  <si>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</si>
  <si>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</si>
  <si>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</si>
  <si>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</si>
  <si>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</si>
  <si>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</si>
  <si>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</si>
  <si>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</si>
  <si>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</si>
  <si>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</si>
  <si>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</si>
  <si>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</si>
  <si>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</si>
  <si>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</si>
  <si>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</si>
  <si>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</si>
  <si>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</si>
  <si>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</si>
  <si>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</si>
  <si>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</si>
  <si>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</si>
  <si>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</si>
  <si>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</si>
  <si>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</si>
  <si>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</si>
  <si>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</si>
  <si>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</si>
  <si>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</si>
  <si>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</si>
  <si>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</si>
  <si>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</si>
  <si>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</si>
  <si>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</si>
  <si>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</si>
  <si>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</si>
  <si>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</si>
  <si>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</si>
  <si>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</si>
  <si>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</si>
  <si>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</si>
  <si>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</si>
  <si>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</si>
  <si>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</si>
  <si>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</si>
  <si>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</si>
  <si>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</si>
  <si>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</si>
  <si>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</si>
  <si>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</si>
  <si>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</si>
  <si>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</si>
  <si>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</si>
  <si>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</si>
  <si>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EUR in millions</t>
  </si>
  <si>
    <t>Total revenues</t>
  </si>
  <si>
    <t>Gross margin</t>
  </si>
  <si>
    <t>EBITDA</t>
  </si>
  <si>
    <t>EBIT</t>
  </si>
  <si>
    <t>EBT</t>
  </si>
  <si>
    <t>Net income</t>
  </si>
  <si>
    <t>Check</t>
  </si>
  <si>
    <t>Var%
FY11-FY12</t>
  </si>
  <si>
    <t>Var%
FY12-FY13</t>
  </si>
  <si>
    <t>Gross Margin %</t>
  </si>
  <si>
    <t>EBITDA %</t>
  </si>
  <si>
    <t>EBIT %</t>
  </si>
  <si>
    <t>Column stacked chart</t>
  </si>
  <si>
    <t xml:space="preserve"> </t>
  </si>
  <si>
    <t>Doughnut chart</t>
  </si>
  <si>
    <t>Area &amp; Line chart</t>
  </si>
  <si>
    <t>Revenues</t>
  </si>
  <si>
    <t>Bridge chart</t>
  </si>
  <si>
    <t>EBITDA FY17</t>
  </si>
  <si>
    <t>Change in Revenues</t>
  </si>
  <si>
    <t>Change in Variable 
costs</t>
  </si>
  <si>
    <t>Change in Opex</t>
  </si>
  <si>
    <t>EBITDA FY18</t>
  </si>
  <si>
    <t>EBITDA 
FY12</t>
  </si>
  <si>
    <t>Change in
Opex</t>
  </si>
  <si>
    <t>EBITDA FY13</t>
  </si>
  <si>
    <t>insert area chart and format</t>
  </si>
  <si>
    <t>insert doughnut chart for FY!8 data and format</t>
  </si>
  <si>
    <t>insert stacked column chart for FY16-fy18 data and format</t>
  </si>
  <si>
    <t>Select data, insert waterfall 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</si>
</sst>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  <numFmt numFmtId="167" formatCode="0.0%"/>
    <numFmt numFmtId="168" formatCode="0.0"/>
  </numFmts>
  <fonts count="24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b/>
      <sz val="12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9"/>
      <color theme="0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8"/>
      <color theme="1"/>
      <name val="Arial"/>
      <family val="2"/>
    </font>
    <font>
      <sz val="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9" fontId="13" fillId="0" borderId="0" applyFont="0" applyFill="0" applyBorder="0" applyAlignment="0" applyProtection="0"/>
  </cellStyleXfs>
  <cellXfs count="55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0" fontId="1" fillId="4" borderId="0" xfId="0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  <xf numFmtId="166" fontId="1" fillId="2" borderId="0" xfId="0" applyNumberFormat="1" applyFont="1" applyFill="1"/>
    <xf numFmtId="0" fontId="19" fillId="2" borderId="3" xfId="0" applyFont="1" applyFill="1" applyBorder="1"/>
    <xf numFmtId="0" fontId="20" fillId="3" borderId="3" xfId="0" applyFont="1" applyFill="1" applyBorder="1"/>
    <xf numFmtId="0" fontId="21" fillId="2" borderId="4" xfId="0" applyFont="1" applyFill="1" applyBorder="1"/>
    <xf numFmtId="166" fontId="1" fillId="4" borderId="0" xfId="0" applyNumberFormat="1" applyFont="1" applyFill="1"/>
    <xf numFmtId="165" fontId="4" fillId="2" borderId="2" xfId="0" applyNumberFormat="1" applyFont="1" applyFill="1" applyBorder="1" applyAlignment="1">
      <alignment horizontal="right" wrapText="1"/>
    </xf>
    <xf numFmtId="167" fontId="6" fillId="2" borderId="0" xfId="4" applyNumberFormat="1" applyFont="1" applyFill="1" applyAlignment="1">
      <alignment horizontal="right"/>
    </xf>
    <xf numFmtId="167" fontId="22" fillId="2" borderId="3" xfId="4" applyNumberFormat="1" applyFont="1" applyFill="1" applyBorder="1" applyAlignment="1">
      <alignment horizontal="right"/>
    </xf>
    <xf numFmtId="167" fontId="9" fillId="3" borderId="3" xfId="4" applyNumberFormat="1" applyFont="1" applyFill="1" applyBorder="1" applyAlignment="1">
      <alignment horizontal="right"/>
    </xf>
    <xf numFmtId="167" fontId="22" fillId="2" borderId="4" xfId="4" applyNumberFormat="1" applyFont="1" applyFill="1" applyBorder="1" applyAlignment="1">
      <alignment horizontal="right"/>
    </xf>
    <xf numFmtId="0" fontId="6" fillId="5" borderId="0" xfId="0" applyFont="1" applyFill="1"/>
    <xf numFmtId="167" fontId="6" fillId="5" borderId="0" xfId="4" applyNumberFormat="1" applyFont="1" applyFill="1"/>
    <xf numFmtId="0" fontId="4" fillId="2" borderId="2" xfId="0" applyFont="1" applyFill="1" applyBorder="1"/>
    <xf numFmtId="0" fontId="4" fillId="2" borderId="2" xfId="0" applyFont="1" applyFill="1" applyBorder="1" applyAlignment="1">
      <alignment horizontal="right"/>
    </xf>
    <xf numFmtId="2" fontId="1" fillId="2" borderId="0" xfId="0" applyNumberFormat="1" applyFont="1" applyFill="1"/>
    <xf numFmtId="168" fontId="1" fillId="2" borderId="0" xfId="0" applyNumberFormat="1" applyFont="1" applyFill="1"/>
    <xf numFmtId="167" fontId="1" fillId="2" borderId="0" xfId="4" applyNumberFormat="1" applyFont="1" applyFill="1"/>
    <xf numFmtId="167" fontId="1" fillId="2" borderId="0" xfId="4" applyNumberFormat="1" applyFont="1" applyFill="1" applyAlignment="1">
      <alignment horizontal="right"/>
    </xf>
    <xf numFmtId="0" fontId="1" fillId="2" borderId="0" xfId="0" applyFont="1" applyFill="1" applyAlignment="1">
      <alignment horizontal="right"/>
    </xf>
    <xf numFmtId="166" fontId="1" fillId="2" borderId="0" xfId="0" applyNumberFormat="1" applyFont="1" applyFill="1" applyAlignment="1">
      <alignment wrapText="1"/>
    </xf>
    <xf numFmtId="0" fontId="23" fillId="2" borderId="0" xfId="0" applyFont="1" applyFill="1"/>
    <xf numFmtId="168" fontId="23" fillId="2" borderId="0" xfId="0" applyNumberFormat="1" applyFont="1" applyFill="1"/>
    <xf numFmtId="168" fontId="23" fillId="2" borderId="0" xfId="0" applyNumberFormat="1" applyFont="1" applyFill="1" applyAlignment="1">
      <alignment horizontal="left"/>
    </xf>
    <xf numFmtId="0" fontId="23" fillId="2" borderId="0" xfId="0" applyFont="1" applyFill="1" applyAlignment="1">
      <alignment horizontal="left"/>
    </xf>
    <xf numFmtId="0" fontId="23" fillId="2" borderId="0" xfId="0" applyFont="1" applyFill="1" applyAlignment="1">
      <alignment vertical="top" wrapText="1"/>
    </xf>
    <xf numFmtId="168" fontId="23" fillId="2" borderId="0" xfId="0" applyNumberFormat="1" applyFont="1" applyFill="1" applyAlignment="1">
      <alignment vertical="top" wrapText="1"/>
    </xf>
  </cellXfs>
  <cellStyles count="5">
    <cellStyle name="Comma" xfId="2" builtinId="3"/>
    <cellStyle name="Hyperlink" xfId="3" builtinId="8"/>
    <cellStyle name="Normal" xfId="0" builtinId="0"/>
    <cellStyle name="Percent" xfId="4" builtinId="5"/>
    <cellStyle name="Smart Subtitle 1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'[1]3.1 Column stacked chart'!$B$4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'[1]3.1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'[1]3.1 Column stacked chart'!$C$4:$E$4</c:f>
              <c:numCache>
                <c:formatCode>General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1D-4666-A0B6-E238606FED00}"/>
            </c:ext>
          </c:extLst>
        </c:ser>
        <c:ser>
          <c:idx val="1"/>
          <c:order val="1"/>
          <c:tx>
            <c:strRef>
              <c:f>'[1]3.1 Column stacked chart'!$B$5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'[1]3.1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'[1]3.1 Column stacked chart'!$C$5:$E$5</c:f>
              <c:numCache>
                <c:formatCode>General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1D-4666-A0B6-E238606FED00}"/>
            </c:ext>
          </c:extLst>
        </c:ser>
        <c:ser>
          <c:idx val="2"/>
          <c:order val="2"/>
          <c:tx>
            <c:strRef>
              <c:f>'[1]3.1 Column stacked chart'!$B$6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'[1]3.1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'[1]3.1 Column stacked chart'!$C$6:$E$6</c:f>
              <c:numCache>
                <c:formatCode>General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1D-4666-A0B6-E238606FE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0956288"/>
        <c:axId val="40957824"/>
      </c:barChart>
      <c:lineChart>
        <c:grouping val="standard"/>
        <c:varyColors val="0"/>
        <c:ser>
          <c:idx val="3"/>
          <c:order val="3"/>
          <c:tx>
            <c:strRef>
              <c:f>'[1]3.1 Column stacked chart'!$B$7</c:f>
              <c:strCache>
                <c:ptCount val="1"/>
                <c:pt idx="0">
                  <c:v>Gross Margin %</c:v>
                </c:pt>
              </c:strCache>
            </c:strRef>
          </c:tx>
          <c:marker>
            <c:symbol val="none"/>
          </c:marker>
          <c:val>
            <c:numRef>
              <c:f>'[1]3.1 Column stacked chart'!$C$7:$E$7</c:f>
              <c:numCache>
                <c:formatCode>General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401D-4666-A0B6-E238606FE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9984"/>
        <c:axId val="40959360"/>
      </c:lineChart>
      <c:catAx>
        <c:axId val="4095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0957824"/>
        <c:crosses val="autoZero"/>
        <c:auto val="1"/>
        <c:lblAlgn val="ctr"/>
        <c:lblOffset val="100"/>
        <c:noMultiLvlLbl val="0"/>
      </c:catAx>
      <c:valAx>
        <c:axId val="4095782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3000"/>
                </a:schemeClr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noFill/>
          </a:ln>
        </c:spPr>
        <c:crossAx val="40956288"/>
        <c:crosses val="autoZero"/>
        <c:crossBetween val="between"/>
        <c:majorUnit val="10"/>
      </c:valAx>
      <c:valAx>
        <c:axId val="40959360"/>
        <c:scaling>
          <c:orientation val="minMax"/>
          <c:max val="0.82000000000000006"/>
          <c:min val="0.76000000000000012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crossAx val="85369984"/>
        <c:crosses val="max"/>
        <c:crossBetween val="between"/>
        <c:majorUnit val="2.0000000000000004E-2"/>
      </c:valAx>
      <c:catAx>
        <c:axId val="85369984"/>
        <c:scaling>
          <c:orientation val="minMax"/>
        </c:scaling>
        <c:delete val="1"/>
        <c:axPos val="b"/>
        <c:majorTickMark val="out"/>
        <c:minorTickMark val="none"/>
        <c:tickLblPos val="nextTo"/>
        <c:crossAx val="40959360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Made by 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'Stacked column'!$B$4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'Stacked column'!$C$3:$E$3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column'!$C$4:$E$4</c:f>
              <c:numCache>
                <c:formatCode>_(* #,##0.0_);_(* \(#,##0.0\);_(* "-"??_);_(@_)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F8-4C83-8910-D2A3487F0A7D}"/>
            </c:ext>
          </c:extLst>
        </c:ser>
        <c:ser>
          <c:idx val="1"/>
          <c:order val="1"/>
          <c:tx>
            <c:strRef>
              <c:f>'Stacked column'!$B$5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'Stacked column'!$C$3:$E$3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column'!$C$5:$E$5</c:f>
              <c:numCache>
                <c:formatCode>_(* #,##0.0_);_(* \(#,##0.0\);_(* "-"??_);_(@_)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F8-4C83-8910-D2A3487F0A7D}"/>
            </c:ext>
          </c:extLst>
        </c:ser>
        <c:ser>
          <c:idx val="2"/>
          <c:order val="2"/>
          <c:tx>
            <c:strRef>
              <c:f>'Stacked column'!$B$6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'Stacked column'!$C$3:$E$3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column'!$C$6:$E$6</c:f>
              <c:numCache>
                <c:formatCode>_(* #,##0.0_);_(* \(#,##0.0\);_(* "-"??_);_(@_)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F8-4C83-8910-D2A3487F0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006566720"/>
        <c:axId val="2006567136"/>
      </c:barChart>
      <c:lineChart>
        <c:grouping val="standard"/>
        <c:varyColors val="0"/>
        <c:ser>
          <c:idx val="3"/>
          <c:order val="3"/>
          <c:tx>
            <c:strRef>
              <c:f>'Stacked column'!$B$7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'Stacked column'!$C$3:$E$3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column'!$C$7:$E$7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BF8-4C83-8910-D2A3487F0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9987680"/>
        <c:axId val="2006561312"/>
      </c:lineChart>
      <c:catAx>
        <c:axId val="200656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06567136"/>
        <c:crosses val="autoZero"/>
        <c:auto val="1"/>
        <c:lblAlgn val="ctr"/>
        <c:lblOffset val="100"/>
        <c:noMultiLvlLbl val="0"/>
      </c:catAx>
      <c:valAx>
        <c:axId val="200656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06566720"/>
        <c:crosses val="autoZero"/>
        <c:crossBetween val="between"/>
      </c:valAx>
      <c:valAx>
        <c:axId val="200656131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09987680"/>
        <c:crosses val="max"/>
        <c:crossBetween val="between"/>
      </c:valAx>
      <c:catAx>
        <c:axId val="1909987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0656131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>
                <a:solidFill>
                  <a:srgbClr val="002060"/>
                </a:solidFill>
              </a:defRPr>
            </a:pPr>
            <a:r>
              <a:rPr lang="en-US" sz="900">
                <a:solidFill>
                  <a:srgbClr val="002060"/>
                </a:solidFill>
              </a:rPr>
              <a:t>Breakdown of Revenues</a:t>
            </a:r>
            <a:r>
              <a:rPr lang="en-US" sz="900" baseline="0">
                <a:solidFill>
                  <a:srgbClr val="002060"/>
                </a:solidFill>
              </a:rPr>
              <a:t> in FY18</a:t>
            </a:r>
            <a:endParaRPr lang="en-US" sz="900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5.7040998217468802E-2"/>
          <c:y val="4.5528431968026646E-2"/>
        </c:manualLayout>
      </c:layout>
      <c:overlay val="0"/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AECB-417B-B0E4-EB78524B9E54}"/>
              </c:ext>
            </c:extLst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AECB-417B-B0E4-EB78524B9E54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AECB-417B-B0E4-EB78524B9E54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Lit>
              <c:ptCount val="3"/>
              <c:pt idx="0">
                <c:v>Net Sales</c:v>
              </c:pt>
              <c:pt idx="1">
                <c:v>Other revenues</c:v>
              </c:pt>
              <c:pt idx="2">
                <c:v>Recharges</c:v>
              </c:pt>
            </c:strLit>
          </c:cat>
          <c:val>
            <c:numLit>
              <c:formatCode>General</c:formatCode>
              <c:ptCount val="3"/>
              <c:pt idx="0">
                <c:v>15.047803019</c:v>
              </c:pt>
              <c:pt idx="1">
                <c:v>6.3736175140000002</c:v>
              </c:pt>
              <c:pt idx="2">
                <c:v>4.8931777299999997</c:v>
              </c:pt>
            </c:numLit>
          </c:val>
          <c:extLst>
            <c:ext xmlns:c16="http://schemas.microsoft.com/office/drawing/2014/chart" uri="{C3380CC4-5D6E-409C-BE32-E72D297353CC}">
              <c16:uniqueId val="{00000006-AECB-417B-B0E4-EB78524B9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1" i="0" u="none" strike="noStrike" kern="1200" spc="0" baseline="0">
                <a:solidFill>
                  <a:srgbClr val="00206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 b="1">
                <a:solidFill>
                  <a:srgbClr val="002060"/>
                </a:solidFill>
              </a:rPr>
              <a:t>Breakdown of Revenues in FY18</a:t>
            </a:r>
          </a:p>
        </c:rich>
      </c:tx>
      <c:layout>
        <c:manualLayout>
          <c:xMode val="edge"/>
          <c:yMode val="edge"/>
          <c:x val="5.1202079272254723E-2"/>
          <c:y val="2.6497085320614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1" i="0" u="none" strike="noStrike" kern="1200" spc="0" baseline="0">
              <a:solidFill>
                <a:srgbClr val="00206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3D5C-4026-8FD5-7FA7A9BCC1A3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D5C-4026-8FD5-7FA7A9BCC1A3}"/>
              </c:ext>
            </c:extLst>
          </c:dPt>
          <c:dPt>
            <c:idx val="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3D5C-4026-8FD5-7FA7A9BCC1A3}"/>
              </c:ext>
            </c:extLst>
          </c:dPt>
          <c:dLbls>
            <c:dLbl>
              <c:idx val="0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8-3D5C-4026-8FD5-7FA7A9BCC1A3}"/>
                </c:ext>
              </c:extLst>
            </c:dLbl>
            <c:dLbl>
              <c:idx val="1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D-3D5C-4026-8FD5-7FA7A9BCC1A3}"/>
                </c:ext>
              </c:extLst>
            </c:dLbl>
            <c:dLbl>
              <c:idx val="2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6-3D5C-4026-8FD5-7FA7A9BCC1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'Dougnut chart'!$B$4:$B$6</c:f>
              <c:strCache>
                <c:ptCount val="3"/>
                <c:pt idx="0">
                  <c:v>Net Sales</c:v>
                </c:pt>
                <c:pt idx="1">
                  <c:v>Other revenues</c:v>
                </c:pt>
                <c:pt idx="2">
                  <c:v>Recharges</c:v>
                </c:pt>
              </c:strCache>
            </c:strRef>
          </c:cat>
          <c:val>
            <c:numRef>
              <c:f>'Dougnut chart'!$E$4:$E$6</c:f>
              <c:numCache>
                <c:formatCode>_(* #,##0.0_);_(* \(#,##0.0\);_(* "-"??_);_(@_)</c:formatCode>
                <c:ptCount val="3"/>
                <c:pt idx="0">
                  <c:v>15.047803019</c:v>
                </c:pt>
                <c:pt idx="1">
                  <c:v>6.3736175140000002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5C-4026-8FD5-7FA7A9BCC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900">
                <a:solidFill>
                  <a:srgbClr val="002060"/>
                </a:solidFill>
              </a:rPr>
              <a:t>FY16-FY18</a:t>
            </a:r>
            <a:r>
              <a:rPr lang="en-US" sz="900" baseline="0">
                <a:solidFill>
                  <a:srgbClr val="002060"/>
                </a:solidFill>
              </a:rPr>
              <a:t> Revenues and Gross Margin %</a:t>
            </a:r>
            <a:endParaRPr lang="en-US" sz="900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1.4631889763779524E-2"/>
          <c:y val="2.7777777777777776E-2"/>
        </c:manualLayout>
      </c:layout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tx>
            <c:v>Revenues</c:v>
          </c:tx>
          <c:cat>
            <c:strRef>
              <c:f>'[3]3.3 Area &amp; line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Lit>
              <c:formatCode>0.0</c:formatCode>
              <c:ptCount val="3"/>
              <c:pt idx="0">
                <c:v>22.515251444</c:v>
              </c:pt>
              <c:pt idx="1">
                <c:v>26.032605005000001</c:v>
              </c:pt>
              <c:pt idx="2">
                <c:v>26.314598263000001</c:v>
              </c:pt>
            </c:numLit>
          </c:val>
          <c:extLst>
            <c:ext xmlns:c16="http://schemas.microsoft.com/office/drawing/2014/chart" uri="{C3380CC4-5D6E-409C-BE32-E72D297353CC}">
              <c16:uniqueId val="{00000000-5775-4E6C-9597-A9104CA0F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214400"/>
        <c:axId val="264215936"/>
      </c:areaChart>
      <c:lineChart>
        <c:grouping val="standard"/>
        <c:varyColors val="0"/>
        <c:ser>
          <c:idx val="1"/>
          <c:order val="1"/>
          <c:tx>
            <c:v>Gross Margin %</c:v>
          </c:tx>
          <c:marker>
            <c:symbol val="none"/>
          </c:marker>
          <c:val>
            <c:numLit>
              <c:formatCode>0.0%</c:formatCode>
              <c:ptCount val="3"/>
              <c:pt idx="0">
                <c:v>0.80329281353949789</c:v>
              </c:pt>
              <c:pt idx="1">
                <c:v>0.79014052477841912</c:v>
              </c:pt>
              <c:pt idx="2">
                <c:v>0.78437246085651935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1-5775-4E6C-9597-A9104CA0F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826624"/>
        <c:axId val="263506944"/>
      </c:lineChart>
      <c:catAx>
        <c:axId val="26421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4215936"/>
        <c:crosses val="autoZero"/>
        <c:auto val="1"/>
        <c:lblAlgn val="ctr"/>
        <c:lblOffset val="100"/>
        <c:noMultiLvlLbl val="0"/>
      </c:catAx>
      <c:valAx>
        <c:axId val="264215936"/>
        <c:scaling>
          <c:orientation val="minMax"/>
          <c:max val="30"/>
          <c:min val="2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25000"/>
                </a:schemeClr>
              </a:solidFill>
            </a:ln>
          </c:spPr>
        </c:majorGridlines>
        <c:numFmt formatCode="0.0" sourceLinked="1"/>
        <c:majorTickMark val="out"/>
        <c:minorTickMark val="none"/>
        <c:tickLblPos val="nextTo"/>
        <c:spPr>
          <a:ln>
            <a:noFill/>
          </a:ln>
        </c:spPr>
        <c:crossAx val="264214400"/>
        <c:crosses val="autoZero"/>
        <c:crossBetween val="between"/>
        <c:majorUnit val="2"/>
      </c:valAx>
      <c:valAx>
        <c:axId val="263506944"/>
        <c:scaling>
          <c:orientation val="minMax"/>
          <c:max val="0.82000000000000006"/>
        </c:scaling>
        <c:delete val="0"/>
        <c:axPos val="r"/>
        <c:numFmt formatCode="0.0%" sourceLinked="1"/>
        <c:majorTickMark val="out"/>
        <c:minorTickMark val="none"/>
        <c:tickLblPos val="nextTo"/>
        <c:spPr>
          <a:ln>
            <a:noFill/>
          </a:ln>
        </c:spPr>
        <c:crossAx val="324826624"/>
        <c:crosses val="max"/>
        <c:crossBetween val="between"/>
        <c:majorUnit val="2.0000000000000004E-2"/>
      </c:valAx>
      <c:catAx>
        <c:axId val="324826624"/>
        <c:scaling>
          <c:orientation val="minMax"/>
        </c:scaling>
        <c:delete val="1"/>
        <c:axPos val="b"/>
        <c:majorTickMark val="out"/>
        <c:minorTickMark val="none"/>
        <c:tickLblPos val="nextTo"/>
        <c:crossAx val="263506944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900" b="1" i="0" baseline="0">
                <a:solidFill>
                  <a:srgbClr val="002060"/>
                </a:solidFill>
                <a:effectLst/>
              </a:rPr>
              <a:t>FY16-FY18 Revenues and Gross Margin %</a:t>
            </a:r>
            <a:endParaRPr lang="en-US" sz="900" b="1">
              <a:solidFill>
                <a:srgbClr val="002060"/>
              </a:solidFill>
              <a:effectLst/>
            </a:endParaRPr>
          </a:p>
        </c:rich>
      </c:tx>
      <c:layout>
        <c:manualLayout>
          <c:xMode val="edge"/>
          <c:yMode val="edge"/>
          <c:x val="3.5132748881587815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'[3]3.3 Area &amp; line chart'!$B$4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'[3]3.3 Area &amp; line chart'!$C$2:$E$3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'[3]3.3 Area &amp; line chart'!$C$4:$E$4</c:f>
              <c:numCache>
                <c:formatCode>General</c:formatCode>
                <c:ptCount val="3"/>
                <c:pt idx="0">
                  <c:v>22.515251444</c:v>
                </c:pt>
                <c:pt idx="1">
                  <c:v>26.032605005000001</c:v>
                </c:pt>
                <c:pt idx="2">
                  <c:v>26.314598263000001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9E-4BEC-99FF-F79F81ACD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175520"/>
        <c:axId val="583171912"/>
      </c:areaChart>
      <c:lineChart>
        <c:grouping val="standard"/>
        <c:varyColors val="0"/>
        <c:ser>
          <c:idx val="1"/>
          <c:order val="1"/>
          <c:tx>
            <c:strRef>
              <c:f>'[3]3.3 Area &amp; line chart'!$B$5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'[3]3.3 Area &amp; line chart'!$C$5:$E$5</c:f>
              <c:numCache>
                <c:formatCode>General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89E-4BEC-99FF-F79F81ACD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190280"/>
        <c:axId val="583196840"/>
      </c:lineChart>
      <c:catAx>
        <c:axId val="583175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83171912"/>
        <c:crosses val="autoZero"/>
        <c:auto val="1"/>
        <c:lblAlgn val="ctr"/>
        <c:lblOffset val="100"/>
        <c:noMultiLvlLbl val="0"/>
      </c:catAx>
      <c:valAx>
        <c:axId val="583171912"/>
        <c:scaling>
          <c:orientation val="minMax"/>
          <c:max val="30"/>
          <c:min val="2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83175520"/>
        <c:crosses val="autoZero"/>
        <c:crossBetween val="between"/>
        <c:majorUnit val="2"/>
      </c:valAx>
      <c:valAx>
        <c:axId val="583196840"/>
        <c:scaling>
          <c:orientation val="minMax"/>
          <c:max val="0.82000000000000006"/>
          <c:min val="0.76000000000000012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83190280"/>
        <c:crosses val="max"/>
        <c:crossBetween val="between"/>
        <c:majorUnit val="2.0000000000000004E-2"/>
      </c:valAx>
      <c:catAx>
        <c:axId val="583190280"/>
        <c:scaling>
          <c:orientation val="minMax"/>
        </c:scaling>
        <c:delete val="1"/>
        <c:axPos val="b"/>
        <c:majorTickMark val="out"/>
        <c:minorTickMark val="none"/>
        <c:tickLblPos val="nextTo"/>
        <c:crossAx val="583196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900">
                <a:solidFill>
                  <a:srgbClr val="002060"/>
                </a:solidFill>
              </a:rPr>
              <a:t>EBITDA bridge:</a:t>
            </a:r>
            <a:r>
              <a:rPr lang="en-US" sz="900" baseline="0">
                <a:solidFill>
                  <a:srgbClr val="002060"/>
                </a:solidFill>
              </a:rPr>
              <a:t> FY17-FY18</a:t>
            </a:r>
            <a:endParaRPr lang="en-US" sz="900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3.5669453555635618E-2"/>
          <c:y val="2.3238919884281159E-2"/>
        </c:manualLayout>
      </c:layout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B626-456E-9D7D-44AC59E4700C}"/>
              </c:ext>
            </c:extLst>
          </c:dPt>
          <c:dPt>
            <c:idx val="1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B626-456E-9D7D-44AC59E4700C}"/>
              </c:ext>
            </c:extLst>
          </c:dPt>
          <c:dPt>
            <c:idx val="2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B626-456E-9D7D-44AC59E4700C}"/>
              </c:ext>
            </c:extLst>
          </c:dPt>
          <c:dPt>
            <c:idx val="3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B626-456E-9D7D-44AC59E4700C}"/>
              </c:ext>
            </c:extLst>
          </c:dPt>
          <c:dLbls>
            <c:dLbl>
              <c:idx val="0"/>
              <c:layout/>
              <c:numFmt formatCode="#,##0.0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b="1"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B626-456E-9D7D-44AC59E470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'[4]3.4 Bridge Chart'!$B$4:$B$8</c:f>
              <c:strCache>
                <c:ptCount val="5"/>
                <c:pt idx="0">
                  <c:v>EBITDA FY17</c:v>
                </c:pt>
                <c:pt idx="1">
                  <c:v>Change in Revenues</c:v>
                </c:pt>
                <c:pt idx="2">
                  <c:v>Change in Variable 
costs</c:v>
                </c:pt>
                <c:pt idx="3">
                  <c:v>Change in Opex</c:v>
                </c:pt>
                <c:pt idx="4">
                  <c:v>EBITDA FY18</c:v>
                </c:pt>
              </c:strCache>
            </c:strRef>
          </c:cat>
          <c:val>
            <c:numLit>
              <c:formatCode>General</c:formatCode>
              <c:ptCount val="5"/>
              <c:pt idx="0">
                <c:v>4.2437563400000018</c:v>
              </c:pt>
              <c:pt idx="1">
                <c:v>4.2437563400000018</c:v>
              </c:pt>
              <c:pt idx="2">
                <c:v>4.3147863560000026</c:v>
              </c:pt>
              <c:pt idx="3">
                <c:v>4.3147863560000026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B626-456E-9D7D-44AC59E4700C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A-B626-456E-9D7D-44AC59E4700C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C-B626-456E-9D7D-44AC59E4700C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B626-456E-9D7D-44AC59E4700C}"/>
              </c:ext>
            </c:extLst>
          </c:dPt>
          <c:dPt>
            <c:idx val="4"/>
            <c:invertIfNegative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10-B626-456E-9D7D-44AC59E4700C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626-456E-9D7D-44AC59E4700C}"/>
                </c:ext>
              </c:extLst>
            </c:dLbl>
            <c:dLbl>
              <c:idx val="1"/>
              <c:layout>
                <c:manualLayout>
                  <c:x val="0"/>
                  <c:y val="-5.2287569739632604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0.3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A-B626-456E-9D7D-44AC59E4700C}"/>
                </c:ext>
              </c:extLst>
            </c:dLbl>
            <c:dLbl>
              <c:idx val="2"/>
              <c:layout>
                <c:manualLayout>
                  <c:x val="0"/>
                  <c:y val="-4.6477839768562318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-0.2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C-B626-456E-9D7D-44AC59E4700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'[4]3.4 Bridge Chart'!$B$4:$B$8</c:f>
              <c:strCache>
                <c:ptCount val="5"/>
                <c:pt idx="0">
                  <c:v>EBITDA FY17</c:v>
                </c:pt>
                <c:pt idx="1">
                  <c:v>Change in Revenues</c:v>
                </c:pt>
                <c:pt idx="2">
                  <c:v>Change in Variable 
costs</c:v>
                </c:pt>
                <c:pt idx="3">
                  <c:v>Change in Opex</c:v>
                </c:pt>
                <c:pt idx="4">
                  <c:v>EBITDA FY18</c:v>
                </c:pt>
              </c:strCache>
            </c:strRef>
          </c:cat>
          <c:val>
            <c:numLit>
              <c:formatCode>General</c:formatCode>
              <c:ptCount val="5"/>
              <c:pt idx="0">
                <c:v>0</c:v>
              </c:pt>
              <c:pt idx="1">
                <c:v>0.28199325799999997</c:v>
              </c:pt>
              <c:pt idx="2">
                <c:v>0.21096324199999916</c:v>
              </c:pt>
              <c:pt idx="3">
                <c:v>0.97571168500000027</c:v>
              </c:pt>
              <c:pt idx="4">
                <c:v>5.2904980410000029</c:v>
              </c:pt>
            </c:numLit>
          </c:val>
          <c:extLst>
            <c:ext xmlns:c16="http://schemas.microsoft.com/office/drawing/2014/chart" uri="{C3380CC4-5D6E-409C-BE32-E72D297353CC}">
              <c16:uniqueId val="{00000012-B626-456E-9D7D-44AC59E470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206336"/>
        <c:axId val="42219008"/>
      </c:barChart>
      <c:catAx>
        <c:axId val="42206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</c:spPr>
        <c:crossAx val="42219008"/>
        <c:crosses val="autoZero"/>
        <c:auto val="1"/>
        <c:lblAlgn val="ctr"/>
        <c:lblOffset val="100"/>
        <c:noMultiLvlLbl val="0"/>
      </c:catAx>
      <c:valAx>
        <c:axId val="422190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3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Euro</a:t>
                </a:r>
                <a:r>
                  <a:rPr lang="en-US" b="0" baseline="0"/>
                  <a:t> in million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9.8887515451174281E-3"/>
              <c:y val="0.283016192220634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>
            <a:noFill/>
          </a:ln>
        </c:spPr>
        <c:crossAx val="4220633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title pos="t" align="ctr" overlay="0">
      <cx:tx>
        <cx:txData>
          <cx:v>EBITDA bridge: FY17-FY18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EBITDA bridge: FY17-FY18</a:t>
          </a:r>
        </a:p>
      </cx:txPr>
    </cx:title>
    <cx:plotArea>
      <cx:plotAreaRegion>
        <cx:series layoutId="waterfall" uniqueId="{2DB0576A-7C13-4A1E-932A-A5BD79EC1122}">
          <cx:dataPt idx="0">
            <cx:spPr>
              <a:solidFill>
                <a:srgbClr val="002060"/>
              </a:solidFill>
            </cx:spPr>
          </cx:dataPt>
          <cx:dataPt idx="1">
            <cx:spPr>
              <a:solidFill>
                <a:srgbClr val="00B050"/>
              </a:solidFill>
            </cx:spPr>
          </cx:dataPt>
          <cx:dataPt idx="2">
            <cx:spPr>
              <a:solidFill>
                <a:srgbClr val="FF0000"/>
              </a:solidFill>
            </cx:spPr>
          </cx:dataPt>
          <cx:dataPt idx="3">
            <cx:spPr>
              <a:solidFill>
                <a:srgbClr val="00B050"/>
              </a:solidFill>
            </cx:spPr>
          </cx:dataPt>
          <cx:dataPt idx="4">
            <cx:spPr>
              <a:solidFill>
                <a:srgbClr val="002060"/>
              </a:solidFill>
            </cx:spPr>
          </cx:dataPt>
          <cx:dataLabels pos="outEnd">
            <cx:txPr>
              <a:bodyPr vertOverflow="overflow" horzOverflow="overflow" wrap="square" lIns="0" tIns="0" rIns="0" bIns="0"/>
              <a:lstStyle/>
              <a:p>
                <a:pPr algn="ctr" rtl="0">
                  <a:defRPr sz="800" b="0">
                    <a:solidFill>
                      <a:srgbClr val="595959"/>
                    </a:solidFill>
                    <a:latin typeface="Arial" panose="020B0604020202020204" pitchFamily="34" charset="0"/>
                    <a:ea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 sz="800">
                  <a:latin typeface="Arial" panose="020B0604020202020204" pitchFamily="34" charset="0"/>
                  <a:cs typeface="Arial" panose="020B0604020202020204" pitchFamily="34" charset="0"/>
                </a:endParaRPr>
              </a:p>
            </cx:txPr>
            <cx:visibility seriesName="0" categoryName="0" value="1"/>
          </cx:dataLabels>
          <cx:dataId val="0"/>
          <cx:layoutPr>
            <cx:visibility connectorLines="1"/>
            <cx:subtotals>
              <cx:idx val="4"/>
            </cx:subtotals>
          </cx:layoutPr>
        </cx:series>
      </cx:plotAreaRegion>
      <cx:axis id="0">
        <cx:catScaling gapWidth="0.5"/>
        <cx:tickLabels/>
        <cx:txPr>
          <a:bodyPr vertOverflow="overflow" horzOverflow="overflow" wrap="square" lIns="0" tIns="0" rIns="0" bIns="0"/>
          <a:lstStyle/>
          <a:p>
            <a:pPr algn="ctr" rtl="0">
              <a:defRPr sz="800" b="0">
                <a:solidFill>
                  <a:srgbClr val="595959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800"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  <cx:axis id="1">
        <cx:valScaling/>
        <cx:title>
          <cx:tx>
            <cx:txData>
              <cx:v>Euro in million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Euro in million</a:t>
              </a:r>
            </a:p>
          </cx:txPr>
        </cx:title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800" b="0">
                <a:solidFill>
                  <a:srgbClr val="595959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800"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369423</xdr:colOff>
      <xdr:row>14</xdr:row>
      <xdr:rowOff>96275</xdr:rowOff>
    </xdr:from>
    <xdr:to>
      <xdr:col>13</xdr:col>
      <xdr:colOff>518013</xdr:colOff>
      <xdr:row>26</xdr:row>
      <xdr:rowOff>112466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110343</xdr:colOff>
      <xdr:row>10</xdr:row>
      <xdr:rowOff>58907</xdr:rowOff>
    </xdr:from>
    <xdr:to>
      <xdr:col>11</xdr:col>
      <xdr:colOff>68433</xdr:colOff>
      <xdr:row>11</xdr:row>
      <xdr:rowOff>97008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5711043" y="1575287"/>
          <a:ext cx="1207770" cy="182881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latin typeface="Arial" pitchFamily="34" charset="0"/>
              <a:cs typeface="Arial" pitchFamily="34" charset="0"/>
            </a:rPr>
            <a:t>Ready chart:</a:t>
          </a:r>
        </a:p>
      </xdr:txBody>
    </xdr:sp>
    <xdr:clientData/>
  </xdr:twoCellAnchor>
  <xdr:twoCellAnchor>
    <xdr:from>
      <xdr:col>1</xdr:col>
      <xdr:colOff>419100</xdr:colOff>
      <xdr:row>15</xdr:row>
      <xdr:rowOff>30480</xdr:rowOff>
    </xdr:from>
    <xdr:to>
      <xdr:col>6</xdr:col>
      <xdr:colOff>251460</xdr:colOff>
      <xdr:row>28</xdr:row>
      <xdr:rowOff>26670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577361</xdr:colOff>
      <xdr:row>12</xdr:row>
      <xdr:rowOff>50116</xdr:rowOff>
    </xdr:from>
    <xdr:to>
      <xdr:col>13</xdr:col>
      <xdr:colOff>489731</xdr:colOff>
      <xdr:row>26</xdr:row>
      <xdr:rowOff>8206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F919AB-85D3-48B0-936D-9CD55B10EC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196361</xdr:colOff>
      <xdr:row>10</xdr:row>
      <xdr:rowOff>147271</xdr:rowOff>
    </xdr:from>
    <xdr:to>
      <xdr:col>10</xdr:col>
      <xdr:colOff>154451</xdr:colOff>
      <xdr:row>12</xdr:row>
      <xdr:rowOff>32972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C0BB025-0595-471D-9BEA-66BFE0A7FD81}"/>
            </a:ext>
          </a:extLst>
        </xdr:cNvPr>
        <xdr:cNvSpPr/>
      </xdr:nvSpPr>
      <xdr:spPr>
        <a:xfrm>
          <a:off x="5362721" y="1663651"/>
          <a:ext cx="1207770" cy="175261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latin typeface="Arial" pitchFamily="34" charset="0"/>
              <a:cs typeface="Arial" pitchFamily="34" charset="0"/>
            </a:rPr>
            <a:t>Ready chart:</a:t>
          </a:r>
        </a:p>
      </xdr:txBody>
    </xdr:sp>
    <xdr:clientData/>
  </xdr:twoCellAnchor>
  <xdr:twoCellAnchor>
    <xdr:from>
      <xdr:col>1</xdr:col>
      <xdr:colOff>129540</xdr:colOff>
      <xdr:row>11</xdr:row>
      <xdr:rowOff>106680</xdr:rowOff>
    </xdr:from>
    <xdr:to>
      <xdr:col>6</xdr:col>
      <xdr:colOff>259080</xdr:colOff>
      <xdr:row>28</xdr:row>
      <xdr:rowOff>41910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0.25758</cdr:x>
      <cdr:y>0.48402</cdr:y>
    </cdr:from>
    <cdr:to>
      <cdr:x>0.48128</cdr:x>
      <cdr:y>0.59361</cdr:y>
    </cdr:to>
    <cdr:sp macro="" textlink="">
      <cdr:nvSpPr>
        <cdr:cNvPr id="3" name="TextBox 5"/>
        <cdr:cNvSpPr txBox="1"/>
      </cdr:nvSpPr>
      <cdr:spPr>
        <a:xfrm xmlns:a="http://schemas.openxmlformats.org/drawingml/2006/main">
          <a:off x="917575" y="1009652"/>
          <a:ext cx="796925" cy="2286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€26.3m</a:t>
          </a:r>
          <a:endParaRPr lang="en-US" sz="900">
            <a:effectLst/>
            <a:latin typeface="Arial" pitchFamily="34" charset="0"/>
            <a:cs typeface="Arial" pitchFamily="34" charset="0"/>
          </a:endParaRPr>
        </a:p>
        <a:p xmlns:a="http://schemas.openxmlformats.org/drawingml/2006/main">
          <a:endParaRPr lang="en-US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0.29175</cdr:x>
      <cdr:y>0.46635</cdr:y>
    </cdr:from>
    <cdr:to>
      <cdr:x>0.45159</cdr:x>
      <cdr:y>0.584</cdr:y>
    </cdr:to>
    <cdr:sp macro="" textlink="">
      <cdr:nvSpPr>
        <cdr:cNvPr id="2" name="TextBox 5"/>
        <cdr:cNvSpPr txBox="1"/>
      </cdr:nvSpPr>
      <cdr:spPr>
        <a:xfrm xmlns:a="http://schemas.openxmlformats.org/drawingml/2006/main">
          <a:off x="1140460" y="1117600"/>
          <a:ext cx="624840" cy="28194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€26.3m</a:t>
          </a:r>
          <a:endParaRPr lang="en-GB">
            <a:effectLst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499110</xdr:colOff>
      <xdr:row>9</xdr:row>
      <xdr:rowOff>45720</xdr:rowOff>
    </xdr:from>
    <xdr:to>
      <xdr:col>17</xdr:col>
      <xdr:colOff>196215</xdr:colOff>
      <xdr:row>27</xdr:row>
      <xdr:rowOff>49530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A241B2-30DD-46D4-B3F7-FC0A20D53B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535305</xdr:colOff>
      <xdr:row>8</xdr:row>
      <xdr:rowOff>38100</xdr:rowOff>
    </xdr:from>
    <xdr:to>
      <xdr:col>11</xdr:col>
      <xdr:colOff>495300</xdr:colOff>
      <xdr:row>9</xdr:row>
      <xdr:rowOff>76201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8752D0B2-18D0-4DEB-AF70-F830EDCAEF6E}"/>
            </a:ext>
          </a:extLst>
        </xdr:cNvPr>
        <xdr:cNvSpPr/>
      </xdr:nvSpPr>
      <xdr:spPr>
        <a:xfrm>
          <a:off x="6440805" y="1264920"/>
          <a:ext cx="1209675" cy="182881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latin typeface="Arial" pitchFamily="34" charset="0"/>
              <a:cs typeface="Arial" pitchFamily="34" charset="0"/>
            </a:rPr>
            <a:t>Ready chart:</a:t>
          </a:r>
        </a:p>
      </xdr:txBody>
    </xdr:sp>
    <xdr:clientData/>
  </xdr:twoCellAnchor>
  <xdr:twoCellAnchor>
    <xdr:from>
      <xdr:col>1</xdr:col>
      <xdr:colOff>1045845</xdr:colOff>
      <xdr:row>9</xdr:row>
      <xdr:rowOff>4445</xdr:rowOff>
    </xdr:from>
    <xdr:to>
      <xdr:col>8</xdr:col>
      <xdr:colOff>601345</xdr:colOff>
      <xdr:row>27</xdr:row>
      <xdr:rowOff>4445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85E2615-D7EF-43D2-8915-14BC1067CE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213800</xdr:colOff>
      <xdr:row>14</xdr:row>
      <xdr:rowOff>54903</xdr:rowOff>
    </xdr:from>
    <xdr:to>
      <xdr:col>7</xdr:col>
      <xdr:colOff>625280</xdr:colOff>
      <xdr:row>15</xdr:row>
      <xdr:rowOff>93004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D20B50B-B9F3-4C19-AC2D-EB346612BF8A}"/>
            </a:ext>
          </a:extLst>
        </xdr:cNvPr>
        <xdr:cNvSpPr/>
      </xdr:nvSpPr>
      <xdr:spPr>
        <a:xfrm>
          <a:off x="4740080" y="2279943"/>
          <a:ext cx="1196340" cy="182881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latin typeface="Arial" pitchFamily="34" charset="0"/>
              <a:cs typeface="Arial" pitchFamily="34" charset="0"/>
            </a:rPr>
            <a:t>Ready chart:</a:t>
          </a:r>
        </a:p>
      </xdr:txBody>
    </xdr:sp>
    <xdr:clientData/>
  </xdr:twoCellAnchor>
  <xdr:twoCellAnchor>
    <xdr:from>
      <xdr:col>6</xdr:col>
      <xdr:colOff>213800</xdr:colOff>
      <xdr:row>16</xdr:row>
      <xdr:rowOff>9623</xdr:rowOff>
    </xdr:from>
    <xdr:to>
      <xdr:col>14</xdr:col>
      <xdr:colOff>480500</xdr:colOff>
      <xdr:row>29</xdr:row>
      <xdr:rowOff>122970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358E8EC-7AE8-48EA-A505-6CA579185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63500</xdr:colOff>
      <xdr:row>0</xdr:row>
      <xdr:rowOff>114300</xdr:rowOff>
    </xdr:from>
    <xdr:to>
      <xdr:col>14</xdr:col>
      <xdr:colOff>334010</xdr:colOff>
      <xdr:row>13</xdr:row>
      <xdr:rowOff>147955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21325192-B5B2-4445-B5D4-BB897FA421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0</xdr:colOff>
      <xdr:row>11</xdr:row>
      <xdr:rowOff>0</xdr:rowOff>
    </xdr:from>
    <xdr:to>
      <xdr:col>5</xdr:col>
      <xdr:colOff>274320</xdr:colOff>
      <xdr:row>17</xdr:row>
      <xdr:rowOff>7620</xdr:rowOff>
    </xdr:to>
    <xdr:sp macro="" textlink="">
      <xdr:nvSpPr>
        <xdr:cNvPr id="14337" name="AutoShape 1" descr="Play video"/>
        <xdr:cNvSpPr>
          <a:spLocks noChangeAspect="1" noChangeArrowheads="1"/>
        </xdr:cNvSpPr>
      </xdr:nvSpPr>
      <xdr:spPr bwMode="auto">
        <a:xfrm>
          <a:off x="3101340" y="1790700"/>
          <a:ext cx="914400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eborah%20Selemon\OneDrive\Documents\Extras\COURSES\EXCEL\2.%20Beg%20to%20Pro_Financial%20Modelling%20and%20Valuation_Udemy\Section%2011_P&amp;L%20Case%20Study%20Contd_CHARTS\102.+Column+stacked+chart-Lecture-befor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eborah%20Selemon\OneDrive\Documents\Extras\COURSES\EXCEL\2.%20Beg%20to%20Pro_Financial%20Modelling%20and%20Valuation_Udemy\Section%2011_P&amp;L%20Case%20Study%20Contd_CHARTS\103.+Doughnut+chart-Lecture-befor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eborah%20Selemon\OneDrive\Documents\Extras\COURSES\EXCEL\2.%20Beg%20to%20Pro_Financial%20Modelling%20and%20Valuation_Udemy\Section%2011_P&amp;L%20Case%20Study%20Contd_CHARTS\20.+Bridge+chart_befor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eborah%20Selemon\OneDrive\Documents\Extras\COURSES\EXCEL\2.%20Beg%20to%20Pro_Financial%20Modelling%20and%20Valuation_Udemy\Section%2011_P&amp;L%20Case%20Study%20Contd_CHARTS\105.+Bridge+chart-Lecture-af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 --&gt;"/>
      <sheetName val="Index"/>
      <sheetName val="1. P&amp;L extractions --&gt;"/>
      <sheetName val="1.1 FY2016"/>
      <sheetName val="1.2 FY2017"/>
      <sheetName val="1.3 FY2018"/>
      <sheetName val="2. Building a P&amp;L --&gt;"/>
      <sheetName val="2.1 Database"/>
      <sheetName val="2.2 P&amp;L statement"/>
      <sheetName val="3. Charts --&gt;"/>
      <sheetName val="3.1 Column stacked chart"/>
      <sheetName val="3.2 Dougnut chart"/>
      <sheetName val="3.3 Area &amp; line chart"/>
      <sheetName val="3.4 Bridge Char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3">
          <cell r="C3" t="str">
            <v>FY16</v>
          </cell>
          <cell r="D3" t="str">
            <v>FY17</v>
          </cell>
          <cell r="E3" t="str">
            <v>FY18</v>
          </cell>
        </row>
      </sheetData>
      <sheetData sheetId="9" refreshError="1"/>
      <sheetData sheetId="10">
        <row r="3">
          <cell r="C3" t="str">
            <v>FY16</v>
          </cell>
          <cell r="D3" t="str">
            <v>FY17</v>
          </cell>
          <cell r="E3" t="str">
            <v>FY18</v>
          </cell>
        </row>
        <row r="4">
          <cell r="B4" t="str">
            <v>Net Sales</v>
          </cell>
          <cell r="C4">
            <v>14.500341000000001</v>
          </cell>
          <cell r="D4">
            <v>16.148295364999999</v>
          </cell>
          <cell r="E4">
            <v>15.047803019</v>
          </cell>
        </row>
        <row r="5">
          <cell r="B5" t="str">
            <v>Other revenues</v>
          </cell>
          <cell r="C5">
            <v>4.7948561920000001</v>
          </cell>
          <cell r="D5">
            <v>6.9602176449999993</v>
          </cell>
          <cell r="E5">
            <v>6.3736175140000002</v>
          </cell>
        </row>
        <row r="6">
          <cell r="B6" t="str">
            <v>Recharges</v>
          </cell>
          <cell r="C6">
            <v>3.2200542519999997</v>
          </cell>
          <cell r="D6">
            <v>2.9240919949999999</v>
          </cell>
          <cell r="E6">
            <v>4.8931777299999997</v>
          </cell>
        </row>
        <row r="7">
          <cell r="B7" t="str">
            <v>Gross Margin %</v>
          </cell>
          <cell r="C7">
            <v>0.80329281353949789</v>
          </cell>
          <cell r="D7">
            <v>0.79014052477841912</v>
          </cell>
          <cell r="E7">
            <v>0.78437246085651935</v>
          </cell>
        </row>
      </sheetData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 --&gt;"/>
      <sheetName val="Index"/>
      <sheetName val="1. P&amp;L extractions --&gt;"/>
      <sheetName val="1.1 FY2016"/>
      <sheetName val="1.2 FY2017"/>
      <sheetName val="1.3 FY2018"/>
      <sheetName val="2. Building a P&amp;L --&gt;"/>
      <sheetName val="2.1 Database"/>
      <sheetName val="2.2 P&amp;L statement"/>
      <sheetName val="3. Charts --&gt;"/>
      <sheetName val="3.1 Column stacked chart"/>
      <sheetName val="3.2 Dougnut chart"/>
      <sheetName val="3.3 Area &amp; line chart"/>
      <sheetName val="3.4 Bridge Char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3">
          <cell r="C3" t="str">
            <v>FY16</v>
          </cell>
          <cell r="D3" t="str">
            <v>FY17</v>
          </cell>
          <cell r="E3" t="str">
            <v>FY18</v>
          </cell>
        </row>
        <row r="4">
          <cell r="B4" t="str">
            <v>Net Sales</v>
          </cell>
        </row>
        <row r="5">
          <cell r="B5" t="str">
            <v>Other revenues</v>
          </cell>
        </row>
        <row r="6">
          <cell r="B6" t="str">
            <v>Recharges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 --&gt;"/>
      <sheetName val="Index"/>
      <sheetName val="1. P&amp;L extractions --&gt;"/>
      <sheetName val="1.1 FY2016"/>
      <sheetName val="1.2 FY2017"/>
      <sheetName val="1.3 FY2018"/>
      <sheetName val="2. Building a P&amp;L --&gt;"/>
      <sheetName val="2.1 Database"/>
      <sheetName val="2.2 P&amp;L statement"/>
      <sheetName val="3. Charts --&gt;"/>
      <sheetName val="3.1 Column stacked chart"/>
      <sheetName val="3.2 Dougnut chart"/>
      <sheetName val="3.3 Area &amp; line chart"/>
      <sheetName val="3.4 Bridge Char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3">
          <cell r="C3" t="str">
            <v>FY16</v>
          </cell>
          <cell r="D3" t="str">
            <v>FY17</v>
          </cell>
          <cell r="E3" t="str">
            <v>FY18</v>
          </cell>
        </row>
      </sheetData>
      <sheetData sheetId="9" refreshError="1"/>
      <sheetData sheetId="10" refreshError="1"/>
      <sheetData sheetId="11" refreshError="1"/>
      <sheetData sheetId="12">
        <row r="3">
          <cell r="C3" t="str">
            <v>FY16</v>
          </cell>
          <cell r="D3" t="str">
            <v>FY17</v>
          </cell>
          <cell r="E3" t="str">
            <v>FY18</v>
          </cell>
        </row>
        <row r="4">
          <cell r="B4" t="str">
            <v>Revenues</v>
          </cell>
          <cell r="C4">
            <v>22.515251444</v>
          </cell>
          <cell r="D4">
            <v>26.032605005000001</v>
          </cell>
          <cell r="E4">
            <v>26.314598263000001</v>
          </cell>
        </row>
        <row r="5">
          <cell r="B5" t="str">
            <v>Gross Margin %</v>
          </cell>
          <cell r="C5">
            <v>0.80329281353949789</v>
          </cell>
          <cell r="D5">
            <v>0.79014052477841912</v>
          </cell>
          <cell r="E5">
            <v>0.78437246085651935</v>
          </cell>
        </row>
      </sheetData>
      <sheetData sheetId="1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 --&gt;"/>
      <sheetName val="Index"/>
      <sheetName val="1. P&amp;L extractions --&gt;"/>
      <sheetName val="1.1 FY2016"/>
      <sheetName val="1.2 FY2017"/>
      <sheetName val="1.3 FY2018"/>
      <sheetName val="2. Building a P&amp;L --&gt;"/>
      <sheetName val="2.1 Database"/>
      <sheetName val="2.2 P&amp;L statement"/>
      <sheetName val="3. Charts --&gt;"/>
      <sheetName val="3.4 Bridge Chart"/>
      <sheetName val="3.1 Column stacked chart"/>
      <sheetName val="3.2 Dougnut chart"/>
      <sheetName val="3.3 Area &amp; line char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>
        <row r="4">
          <cell r="B4" t="str">
            <v>EBITDA FY17</v>
          </cell>
          <cell r="C4">
            <v>4.2437563400000018</v>
          </cell>
        </row>
        <row r="5">
          <cell r="B5" t="str">
            <v>Change in Revenues</v>
          </cell>
          <cell r="C5">
            <v>0.28199325799999997</v>
          </cell>
        </row>
        <row r="6">
          <cell r="B6" t="str">
            <v>Change in Variable 
costs</v>
          </cell>
          <cell r="C6">
            <v>-0.21096324199999916</v>
          </cell>
        </row>
        <row r="7">
          <cell r="B7" t="str">
            <v>Change in Opex</v>
          </cell>
          <cell r="C7">
            <v>0.97571168500000027</v>
          </cell>
        </row>
        <row r="8">
          <cell r="B8" t="str">
            <v>EBITDA FY18</v>
          </cell>
          <cell r="C8">
            <v>5.2904980409999993</v>
          </cell>
        </row>
      </sheetData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2"/>
  <sheetViews>
    <sheetView workbookViewId="0">
      <selection activeCell="B12" sqref="B12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109</v>
      </c>
    </row>
    <row r="2" spans="2:4" ht="12" x14ac:dyDescent="0.25">
      <c r="B2" s="7" t="s">
        <v>58</v>
      </c>
    </row>
    <row r="4" spans="2:4" ht="12.6" thickBot="1" x14ac:dyDescent="0.3">
      <c r="B4" s="13" t="s">
        <v>59</v>
      </c>
      <c r="C4" s="13" t="s">
        <v>60</v>
      </c>
      <c r="D4" s="13" t="s">
        <v>61</v>
      </c>
    </row>
    <row r="5" spans="2:4" x14ac:dyDescent="0.2">
      <c r="B5" s="8">
        <v>1</v>
      </c>
      <c r="C5" s="15" t="s">
        <v>62</v>
      </c>
    </row>
    <row r="6" spans="2:4" ht="12" x14ac:dyDescent="0.25">
      <c r="B6" s="11">
        <v>2</v>
      </c>
      <c r="C6" s="12" t="s">
        <v>63</v>
      </c>
      <c r="D6" s="12"/>
    </row>
    <row r="7" spans="2:4" x14ac:dyDescent="0.2">
      <c r="B7" s="8">
        <v>3</v>
      </c>
      <c r="C7" s="23" t="s">
        <v>110</v>
      </c>
    </row>
    <row r="8" spans="2:4" x14ac:dyDescent="0.2">
      <c r="B8" s="8">
        <v>4</v>
      </c>
      <c r="C8" s="23" t="s">
        <v>111</v>
      </c>
    </row>
    <row r="9" spans="2:4" x14ac:dyDescent="0.2">
      <c r="B9" s="8">
        <v>5</v>
      </c>
      <c r="C9" s="23" t="s">
        <v>112</v>
      </c>
    </row>
    <row r="10" spans="2:4" ht="12" x14ac:dyDescent="0.25">
      <c r="B10" s="11">
        <v>6</v>
      </c>
      <c r="C10" s="12" t="s">
        <v>64</v>
      </c>
      <c r="D10" s="12"/>
    </row>
    <row r="11" spans="2:4" x14ac:dyDescent="0.2">
      <c r="B11" s="8">
        <v>7</v>
      </c>
      <c r="C11" s="15" t="s">
        <v>93</v>
      </c>
    </row>
    <row r="12" spans="2:4" x14ac:dyDescent="0.2">
      <c r="B12" s="8">
        <v>8</v>
      </c>
      <c r="C12" s="15" t="s">
        <v>94</v>
      </c>
    </row>
    <row r="13" spans="2:4" ht="12" x14ac:dyDescent="0.25">
      <c r="B13" s="9">
        <v>19</v>
      </c>
      <c r="C13" s="12" t="s">
        <v>95</v>
      </c>
      <c r="D13" s="10"/>
    </row>
    <row r="14" spans="2:4" x14ac:dyDescent="0.2">
      <c r="B14" s="8">
        <v>20</v>
      </c>
      <c r="C14" s="15" t="s">
        <v>96</v>
      </c>
    </row>
    <row r="15" spans="2:4" x14ac:dyDescent="0.2">
      <c r="B15" s="8">
        <v>21</v>
      </c>
      <c r="C15" s="15" t="s">
        <v>97</v>
      </c>
    </row>
    <row r="16" spans="2:4" x14ac:dyDescent="0.2">
      <c r="B16" s="8">
        <v>22</v>
      </c>
      <c r="C16" s="15" t="s">
        <v>98</v>
      </c>
    </row>
    <row r="17" spans="2:3" x14ac:dyDescent="0.2">
      <c r="B17" s="8">
        <v>23</v>
      </c>
      <c r="C17" s="15" t="s">
        <v>99</v>
      </c>
    </row>
  </sheetData>
  <hyperlinks>
    <hyperlink ref="C7" location="'1.1 FY2016'!A1" display="1.1 FY2016"/>
    <hyperlink ref="C8" location="'1.2 FY2017'!A1" display="1.2 FY2017"/>
    <hyperlink ref="C9" location="'1.3 FY2018'!A1" display="1.3 FY2018"/>
    <hyperlink ref="C11" location="'2.1 Database'!A1" display="2.1 Database"/>
    <hyperlink ref="C12" location="'2.2 P&amp;L statement'!A1" display="2.2 P&amp;L statement"/>
    <hyperlink ref="C14" location="'Stacked column'!A1" display="3.1 Column stacked chart with a secondary axis"/>
    <hyperlink ref="C15" location="'Dougnut chart'!A1" display="3.2 Doughnut chart"/>
    <hyperlink ref="C16" location="'Area chart'!A1" display="3.3 Area chart"/>
    <hyperlink ref="C17" location="'Bridge Chart'!A1" display="3.4 Bridge chart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96"/>
  <sheetViews>
    <sheetView topLeftCell="A28" workbookViewId="0">
      <selection activeCell="I8" sqref="I8"/>
    </sheetView>
  </sheetViews>
  <sheetFormatPr defaultColWidth="9.109375" defaultRowHeight="11.4" x14ac:dyDescent="0.2"/>
  <cols>
    <col min="1" max="1" width="2" style="2" customWidth="1"/>
    <col min="2" max="2" width="30" style="2" customWidth="1"/>
    <col min="3" max="3" width="23.88671875" style="2" bestFit="1" customWidth="1"/>
    <col min="4" max="4" width="36.5546875" style="2" bestFit="1" customWidth="1"/>
    <col min="5" max="5" width="11.6640625" style="2" bestFit="1" customWidth="1"/>
    <col min="6" max="6" width="11" style="2" bestFit="1" customWidth="1"/>
    <col min="7" max="7" width="15.109375" style="2" bestFit="1" customWidth="1"/>
    <col min="8" max="16384" width="9.109375" style="2"/>
  </cols>
  <sheetData>
    <row r="1" spans="2:7" ht="15.6" x14ac:dyDescent="0.3">
      <c r="B1" s="3" t="s">
        <v>113</v>
      </c>
    </row>
    <row r="4" spans="2:7" x14ac:dyDescent="0.2">
      <c r="B4" s="6" t="s">
        <v>100</v>
      </c>
      <c r="C4" s="6" t="s">
        <v>32</v>
      </c>
      <c r="D4" s="6" t="s">
        <v>101</v>
      </c>
      <c r="E4" s="6" t="s">
        <v>102</v>
      </c>
      <c r="F4" s="6" t="s">
        <v>103</v>
      </c>
      <c r="G4" s="2" t="s">
        <v>119</v>
      </c>
    </row>
    <row r="5" spans="2:7" x14ac:dyDescent="0.2">
      <c r="B5" s="6" t="s">
        <v>66</v>
      </c>
      <c r="C5" s="6">
        <v>111111</v>
      </c>
      <c r="D5" s="6" t="s">
        <v>104</v>
      </c>
      <c r="E5" s="16">
        <v>-14500341</v>
      </c>
      <c r="F5" s="17">
        <v>2001110000</v>
      </c>
      <c r="G5" s="2" t="s">
        <v>121</v>
      </c>
    </row>
    <row r="6" spans="2:7" x14ac:dyDescent="0.2">
      <c r="B6" s="6" t="s">
        <v>67</v>
      </c>
      <c r="C6" s="6">
        <v>111111</v>
      </c>
      <c r="D6" s="6" t="s">
        <v>104</v>
      </c>
      <c r="E6" s="16">
        <v>-4794856.1919999998</v>
      </c>
      <c r="F6" s="17">
        <v>2001190000</v>
      </c>
      <c r="G6" s="2" t="s">
        <v>122</v>
      </c>
    </row>
    <row r="7" spans="2:7" x14ac:dyDescent="0.2">
      <c r="B7" s="6" t="s">
        <v>68</v>
      </c>
      <c r="C7" s="6">
        <v>1009</v>
      </c>
      <c r="D7" s="6" t="s">
        <v>36</v>
      </c>
      <c r="E7" s="16">
        <v>-154890.4</v>
      </c>
      <c r="F7" s="17">
        <v>2020000000</v>
      </c>
      <c r="G7" s="2" t="s">
        <v>123</v>
      </c>
    </row>
    <row r="8" spans="2:7" x14ac:dyDescent="0.2">
      <c r="B8" s="6" t="s">
        <v>68</v>
      </c>
      <c r="C8" s="6">
        <v>1007</v>
      </c>
      <c r="D8" s="6" t="s">
        <v>38</v>
      </c>
      <c r="E8" s="16">
        <v>-1180894.0520000001</v>
      </c>
      <c r="F8" s="17">
        <v>2020000000</v>
      </c>
      <c r="G8" s="2" t="s">
        <v>120</v>
      </c>
    </row>
    <row r="9" spans="2:7" x14ac:dyDescent="0.2">
      <c r="B9" s="6" t="s">
        <v>68</v>
      </c>
      <c r="C9" s="6">
        <v>1008</v>
      </c>
      <c r="D9" s="6" t="s">
        <v>40</v>
      </c>
      <c r="E9" s="16">
        <v>-793079.51199999999</v>
      </c>
      <c r="F9" s="17">
        <v>2020000000</v>
      </c>
      <c r="G9" s="2" t="s">
        <v>124</v>
      </c>
    </row>
    <row r="10" spans="2:7" x14ac:dyDescent="0.2">
      <c r="B10" s="6" t="s">
        <v>68</v>
      </c>
      <c r="C10" s="6">
        <v>111101</v>
      </c>
      <c r="D10" s="6" t="s">
        <v>1</v>
      </c>
      <c r="E10" s="16">
        <v>-2277197.6</v>
      </c>
      <c r="F10" s="17">
        <v>2020000000</v>
      </c>
      <c r="G10" s="2" t="s">
        <v>125</v>
      </c>
    </row>
    <row r="11" spans="2:7" x14ac:dyDescent="0.2">
      <c r="B11" s="6" t="s">
        <v>105</v>
      </c>
      <c r="C11" s="6">
        <v>111111</v>
      </c>
      <c r="D11" s="6" t="s">
        <v>104</v>
      </c>
      <c r="E11" s="16">
        <v>4428911.7640000004</v>
      </c>
      <c r="F11" s="17">
        <v>2021900000</v>
      </c>
      <c r="G11" s="2" t="s">
        <v>126</v>
      </c>
    </row>
    <row r="12" spans="2:7" x14ac:dyDescent="0.2">
      <c r="B12" s="6" t="s">
        <v>70</v>
      </c>
      <c r="C12" s="6">
        <v>111111</v>
      </c>
      <c r="D12" s="6" t="s">
        <v>104</v>
      </c>
      <c r="E12" s="16">
        <v>16977.628000000001</v>
      </c>
      <c r="F12" s="17">
        <v>2024080000</v>
      </c>
      <c r="G12" s="2" t="s">
        <v>127</v>
      </c>
    </row>
    <row r="13" spans="2:7" x14ac:dyDescent="0.2">
      <c r="B13" s="6" t="s">
        <v>69</v>
      </c>
      <c r="C13" s="6">
        <v>88</v>
      </c>
      <c r="D13" s="6" t="s">
        <v>33</v>
      </c>
      <c r="E13" s="16">
        <v>2245437.54</v>
      </c>
      <c r="F13" s="17">
        <v>2024090000</v>
      </c>
      <c r="G13" s="2" t="s">
        <v>128</v>
      </c>
    </row>
    <row r="14" spans="2:7" x14ac:dyDescent="0.2">
      <c r="B14" s="6" t="s">
        <v>69</v>
      </c>
      <c r="C14" s="6">
        <v>111111</v>
      </c>
      <c r="D14" s="6" t="s">
        <v>104</v>
      </c>
      <c r="E14" s="16">
        <v>16605.634000000002</v>
      </c>
      <c r="F14" s="17">
        <v>2024090000</v>
      </c>
      <c r="G14" s="2" t="s">
        <v>129</v>
      </c>
    </row>
    <row r="15" spans="2:7" x14ac:dyDescent="0.2">
      <c r="B15" s="6" t="s">
        <v>2</v>
      </c>
      <c r="C15" s="6">
        <v>111111</v>
      </c>
      <c r="D15" s="6" t="s">
        <v>104</v>
      </c>
      <c r="E15" s="16">
        <v>4683394.0460000001</v>
      </c>
      <c r="F15" s="17">
        <v>2041000000</v>
      </c>
      <c r="G15" s="2" t="s">
        <v>130</v>
      </c>
    </row>
    <row r="16" spans="2:7" x14ac:dyDescent="0.2">
      <c r="B16" s="6" t="s">
        <v>71</v>
      </c>
      <c r="C16" s="6">
        <v>111101</v>
      </c>
      <c r="D16" s="6" t="s">
        <v>1</v>
      </c>
      <c r="E16" s="16">
        <v>1143051.5760000001</v>
      </c>
      <c r="F16" s="17">
        <v>2042000000</v>
      </c>
      <c r="G16" s="2" t="s">
        <v>131</v>
      </c>
    </row>
    <row r="17" spans="2:7" x14ac:dyDescent="0.2">
      <c r="B17" s="6" t="s">
        <v>71</v>
      </c>
      <c r="C17" s="6">
        <v>88</v>
      </c>
      <c r="D17" s="6" t="s">
        <v>33</v>
      </c>
      <c r="E17" s="16">
        <v>239379.61800000002</v>
      </c>
      <c r="F17" s="17">
        <v>2042000000</v>
      </c>
      <c r="G17" s="2" t="s">
        <v>132</v>
      </c>
    </row>
    <row r="18" spans="2:7" x14ac:dyDescent="0.2">
      <c r="B18" s="6" t="s">
        <v>72</v>
      </c>
      <c r="C18" s="6">
        <v>111101</v>
      </c>
      <c r="D18" s="6" t="s">
        <v>1</v>
      </c>
      <c r="E18" s="16">
        <v>104913.8</v>
      </c>
      <c r="F18" s="17">
        <v>2045000000</v>
      </c>
      <c r="G18" s="2" t="s">
        <v>133</v>
      </c>
    </row>
    <row r="19" spans="2:7" x14ac:dyDescent="0.2">
      <c r="B19" s="6" t="s">
        <v>73</v>
      </c>
      <c r="C19" s="6">
        <v>111101</v>
      </c>
      <c r="D19" s="6" t="s">
        <v>1</v>
      </c>
      <c r="E19" s="16">
        <v>2003262.2180000001</v>
      </c>
      <c r="F19" s="17">
        <v>2051210000</v>
      </c>
      <c r="G19" s="2" t="s">
        <v>134</v>
      </c>
    </row>
    <row r="20" spans="2:7" x14ac:dyDescent="0.2">
      <c r="B20" s="6" t="s">
        <v>73</v>
      </c>
      <c r="C20" s="6">
        <v>1</v>
      </c>
      <c r="D20" s="6" t="s">
        <v>1</v>
      </c>
      <c r="E20" s="16">
        <v>41981.296000000002</v>
      </c>
      <c r="F20" s="17">
        <v>2051210000</v>
      </c>
      <c r="G20" s="2" t="s">
        <v>135</v>
      </c>
    </row>
    <row r="21" spans="2:7" x14ac:dyDescent="0.2">
      <c r="B21" s="6" t="s">
        <v>74</v>
      </c>
      <c r="C21" s="6" t="s">
        <v>4</v>
      </c>
      <c r="D21" s="6" t="s">
        <v>41</v>
      </c>
      <c r="E21" s="16">
        <v>-2156147.4</v>
      </c>
      <c r="F21" s="17">
        <v>2069010000</v>
      </c>
      <c r="G21" s="2" t="s">
        <v>136</v>
      </c>
    </row>
    <row r="22" spans="2:7" x14ac:dyDescent="0.2">
      <c r="B22" s="6" t="s">
        <v>74</v>
      </c>
      <c r="C22" s="6">
        <v>14</v>
      </c>
      <c r="D22" s="6" t="s">
        <v>42</v>
      </c>
      <c r="E22" s="16">
        <v>-291428.55199999997</v>
      </c>
      <c r="F22" s="17">
        <v>2069010000</v>
      </c>
      <c r="G22" s="2" t="s">
        <v>137</v>
      </c>
    </row>
    <row r="23" spans="2:7" x14ac:dyDescent="0.2">
      <c r="B23" s="6" t="s">
        <v>74</v>
      </c>
      <c r="C23" s="6">
        <v>1037</v>
      </c>
      <c r="D23" s="6" t="s">
        <v>47</v>
      </c>
      <c r="E23" s="16">
        <v>0</v>
      </c>
      <c r="F23" s="17">
        <v>2069010000</v>
      </c>
      <c r="G23" s="2" t="s">
        <v>138</v>
      </c>
    </row>
    <row r="24" spans="2:7" x14ac:dyDescent="0.2">
      <c r="B24" s="6" t="s">
        <v>74</v>
      </c>
      <c r="C24" s="6" t="s">
        <v>5</v>
      </c>
      <c r="D24" s="6" t="s">
        <v>46</v>
      </c>
      <c r="E24" s="16">
        <v>-33736.5</v>
      </c>
      <c r="F24" s="17">
        <v>2069010000</v>
      </c>
      <c r="G24" s="2" t="s">
        <v>139</v>
      </c>
    </row>
    <row r="25" spans="2:7" x14ac:dyDescent="0.2">
      <c r="B25" s="6" t="s">
        <v>74</v>
      </c>
      <c r="C25" s="6">
        <v>1009</v>
      </c>
      <c r="D25" s="6" t="s">
        <v>36</v>
      </c>
      <c r="E25" s="16">
        <v>0</v>
      </c>
      <c r="F25" s="17">
        <v>2069010000</v>
      </c>
      <c r="G25" s="2" t="s">
        <v>140</v>
      </c>
    </row>
    <row r="26" spans="2:7" x14ac:dyDescent="0.2">
      <c r="B26" s="6" t="s">
        <v>74</v>
      </c>
      <c r="C26" s="6">
        <v>1007</v>
      </c>
      <c r="D26" s="6" t="s">
        <v>38</v>
      </c>
      <c r="E26" s="16">
        <v>0</v>
      </c>
      <c r="F26" s="17">
        <v>2069010000</v>
      </c>
      <c r="G26" s="2" t="s">
        <v>141</v>
      </c>
    </row>
    <row r="27" spans="2:7" x14ac:dyDescent="0.2">
      <c r="B27" s="6" t="s">
        <v>74</v>
      </c>
      <c r="C27" s="6">
        <v>1008</v>
      </c>
      <c r="D27" s="6" t="s">
        <v>40</v>
      </c>
      <c r="E27" s="16">
        <v>0</v>
      </c>
      <c r="F27" s="17">
        <v>2069010000</v>
      </c>
      <c r="G27" s="2" t="s">
        <v>142</v>
      </c>
    </row>
    <row r="28" spans="2:7" x14ac:dyDescent="0.2">
      <c r="B28" s="6" t="s">
        <v>74</v>
      </c>
      <c r="C28" s="6">
        <v>1240</v>
      </c>
      <c r="D28" s="6" t="s">
        <v>45</v>
      </c>
      <c r="E28" s="16">
        <v>-199600.4</v>
      </c>
      <c r="F28" s="17">
        <v>2069010000</v>
      </c>
      <c r="G28" s="2" t="s">
        <v>143</v>
      </c>
    </row>
    <row r="29" spans="2:7" x14ac:dyDescent="0.2">
      <c r="B29" s="6" t="s">
        <v>74</v>
      </c>
      <c r="C29" s="6">
        <v>111111</v>
      </c>
      <c r="D29" s="6" t="s">
        <v>104</v>
      </c>
      <c r="E29" s="16">
        <v>-539141.4</v>
      </c>
      <c r="F29" s="17">
        <v>2069010000</v>
      </c>
      <c r="G29" s="2" t="s">
        <v>144</v>
      </c>
    </row>
    <row r="30" spans="2:7" x14ac:dyDescent="0.2">
      <c r="B30" s="6" t="s">
        <v>75</v>
      </c>
      <c r="C30" s="6">
        <v>111111</v>
      </c>
      <c r="D30" s="6" t="s">
        <v>104</v>
      </c>
      <c r="E30" s="16">
        <v>-57.221999999999994</v>
      </c>
      <c r="F30" s="17">
        <v>2069980000</v>
      </c>
      <c r="G30" s="2" t="s">
        <v>145</v>
      </c>
    </row>
    <row r="31" spans="2:7" x14ac:dyDescent="0.2">
      <c r="B31" s="6" t="s">
        <v>76</v>
      </c>
      <c r="C31" s="6">
        <v>111111</v>
      </c>
      <c r="D31" s="6" t="s">
        <v>104</v>
      </c>
      <c r="E31" s="16">
        <v>22314.879999999997</v>
      </c>
      <c r="F31" s="17">
        <v>2070400000</v>
      </c>
      <c r="G31" s="2" t="s">
        <v>146</v>
      </c>
    </row>
    <row r="32" spans="2:7" x14ac:dyDescent="0.2">
      <c r="B32" s="6" t="s">
        <v>77</v>
      </c>
      <c r="C32" s="6">
        <v>88</v>
      </c>
      <c r="D32" s="6" t="s">
        <v>33</v>
      </c>
      <c r="E32" s="16">
        <v>204000</v>
      </c>
      <c r="F32" s="17">
        <v>2070500000</v>
      </c>
      <c r="G32" s="2" t="s">
        <v>147</v>
      </c>
    </row>
    <row r="33" spans="2:7" x14ac:dyDescent="0.2">
      <c r="B33" s="6" t="s">
        <v>77</v>
      </c>
      <c r="C33" s="6">
        <v>111111</v>
      </c>
      <c r="D33" s="6" t="s">
        <v>104</v>
      </c>
      <c r="E33" s="16">
        <v>138.41399999999999</v>
      </c>
      <c r="F33" s="17">
        <v>2070500000</v>
      </c>
      <c r="G33" s="2" t="s">
        <v>148</v>
      </c>
    </row>
    <row r="34" spans="2:7" x14ac:dyDescent="0.2">
      <c r="B34" s="6" t="s">
        <v>78</v>
      </c>
      <c r="C34" s="6">
        <v>111111</v>
      </c>
      <c r="D34" s="6" t="s">
        <v>104</v>
      </c>
      <c r="E34" s="16">
        <v>1127445.872</v>
      </c>
      <c r="F34" s="17">
        <v>2070600000</v>
      </c>
      <c r="G34" s="2" t="s">
        <v>149</v>
      </c>
    </row>
    <row r="35" spans="2:7" x14ac:dyDescent="0.2">
      <c r="B35" s="6" t="s">
        <v>79</v>
      </c>
      <c r="C35" s="6" t="s">
        <v>6</v>
      </c>
      <c r="D35" s="6" t="s">
        <v>43</v>
      </c>
      <c r="E35" s="16">
        <v>133722</v>
      </c>
      <c r="F35" s="17">
        <v>2070900000</v>
      </c>
      <c r="G35" s="2" t="s">
        <v>150</v>
      </c>
    </row>
    <row r="36" spans="2:7" x14ac:dyDescent="0.2">
      <c r="B36" s="6" t="s">
        <v>79</v>
      </c>
      <c r="C36" s="6" t="s">
        <v>7</v>
      </c>
      <c r="D36" s="6" t="s">
        <v>44</v>
      </c>
      <c r="E36" s="16">
        <v>328061.886</v>
      </c>
      <c r="F36" s="17">
        <v>2070900000</v>
      </c>
      <c r="G36" s="2" t="s">
        <v>151</v>
      </c>
    </row>
    <row r="37" spans="2:7" x14ac:dyDescent="0.2">
      <c r="B37" s="6" t="s">
        <v>79</v>
      </c>
      <c r="C37" s="6">
        <v>111111</v>
      </c>
      <c r="D37" s="6" t="s">
        <v>104</v>
      </c>
      <c r="E37" s="16">
        <v>2081304.3219999997</v>
      </c>
      <c r="F37" s="17">
        <v>2070900000</v>
      </c>
      <c r="G37" s="2" t="s">
        <v>152</v>
      </c>
    </row>
    <row r="38" spans="2:7" x14ac:dyDescent="0.2">
      <c r="B38" s="6" t="s">
        <v>8</v>
      </c>
      <c r="C38" s="6">
        <v>111111</v>
      </c>
      <c r="D38" s="6" t="s">
        <v>104</v>
      </c>
      <c r="E38" s="16">
        <v>33410.031999999999</v>
      </c>
      <c r="F38" s="17">
        <v>2071000000</v>
      </c>
      <c r="G38" s="2" t="s">
        <v>153</v>
      </c>
    </row>
    <row r="39" spans="2:7" x14ac:dyDescent="0.2">
      <c r="B39" s="6" t="s">
        <v>80</v>
      </c>
      <c r="C39" s="6">
        <v>111111</v>
      </c>
      <c r="D39" s="6" t="s">
        <v>104</v>
      </c>
      <c r="E39" s="16">
        <v>213090.85199999998</v>
      </c>
      <c r="F39" s="17">
        <v>2071100000</v>
      </c>
      <c r="G39" s="2" t="s">
        <v>154</v>
      </c>
    </row>
    <row r="40" spans="2:7" x14ac:dyDescent="0.2">
      <c r="B40" s="6" t="s">
        <v>9</v>
      </c>
      <c r="C40" s="6">
        <v>111111</v>
      </c>
      <c r="D40" s="6" t="s">
        <v>104</v>
      </c>
      <c r="E40" s="16">
        <v>1813525.004</v>
      </c>
      <c r="F40" s="17">
        <v>2071209200</v>
      </c>
      <c r="G40" s="2" t="s">
        <v>155</v>
      </c>
    </row>
    <row r="41" spans="2:7" x14ac:dyDescent="0.2">
      <c r="B41" s="6" t="s">
        <v>81</v>
      </c>
      <c r="C41" s="6">
        <v>111111</v>
      </c>
      <c r="D41" s="6" t="s">
        <v>104</v>
      </c>
      <c r="E41" s="16">
        <v>5552.2</v>
      </c>
      <c r="F41" s="17">
        <v>2071209400</v>
      </c>
      <c r="G41" s="2" t="s">
        <v>156</v>
      </c>
    </row>
    <row r="42" spans="2:7" x14ac:dyDescent="0.2">
      <c r="B42" s="6" t="s">
        <v>82</v>
      </c>
      <c r="C42" s="6">
        <v>111111</v>
      </c>
      <c r="D42" s="6" t="s">
        <v>104</v>
      </c>
      <c r="E42" s="16">
        <v>43868.975999999995</v>
      </c>
      <c r="F42" s="17">
        <v>2071209500</v>
      </c>
      <c r="G42" s="2" t="s">
        <v>157</v>
      </c>
    </row>
    <row r="43" spans="2:7" x14ac:dyDescent="0.2">
      <c r="B43" s="6" t="s">
        <v>83</v>
      </c>
      <c r="C43" s="6">
        <v>111101</v>
      </c>
      <c r="D43" s="6" t="s">
        <v>1</v>
      </c>
      <c r="E43" s="16">
        <v>10934.671999999999</v>
      </c>
      <c r="F43" s="17">
        <v>2071980000</v>
      </c>
      <c r="G43" s="2" t="s">
        <v>158</v>
      </c>
    </row>
    <row r="44" spans="2:7" x14ac:dyDescent="0.2">
      <c r="B44" s="6" t="s">
        <v>84</v>
      </c>
      <c r="C44" s="6">
        <v>111111</v>
      </c>
      <c r="D44" s="6" t="s">
        <v>104</v>
      </c>
      <c r="E44" s="16">
        <v>20400</v>
      </c>
      <c r="F44" s="17">
        <v>2079022000</v>
      </c>
      <c r="G44" s="2" t="s">
        <v>159</v>
      </c>
    </row>
    <row r="45" spans="2:7" x14ac:dyDescent="0.2">
      <c r="B45" s="6" t="s">
        <v>85</v>
      </c>
      <c r="C45" s="6">
        <v>105</v>
      </c>
      <c r="D45" s="6" t="s">
        <v>34</v>
      </c>
      <c r="E45" s="16">
        <v>0</v>
      </c>
      <c r="F45" s="17">
        <v>2079070000</v>
      </c>
      <c r="G45" s="2" t="s">
        <v>160</v>
      </c>
    </row>
    <row r="46" spans="2:7" x14ac:dyDescent="0.2">
      <c r="B46" s="6" t="s">
        <v>85</v>
      </c>
      <c r="C46" s="6">
        <v>111111</v>
      </c>
      <c r="D46" s="6" t="s">
        <v>104</v>
      </c>
      <c r="E46" s="16">
        <v>563918.152</v>
      </c>
      <c r="F46" s="17">
        <v>2079070000</v>
      </c>
      <c r="G46" s="2" t="s">
        <v>161</v>
      </c>
    </row>
    <row r="47" spans="2:7" x14ac:dyDescent="0.2">
      <c r="B47" s="6" t="s">
        <v>86</v>
      </c>
      <c r="C47" s="6">
        <v>1009</v>
      </c>
      <c r="D47" s="6" t="s">
        <v>36</v>
      </c>
      <c r="E47" s="16">
        <v>0</v>
      </c>
      <c r="F47" s="17">
        <v>2079080000</v>
      </c>
      <c r="G47" s="2" t="s">
        <v>162</v>
      </c>
    </row>
    <row r="48" spans="2:7" x14ac:dyDescent="0.2">
      <c r="B48" s="6" t="s">
        <v>86</v>
      </c>
      <c r="C48" s="6">
        <v>1007</v>
      </c>
      <c r="D48" s="6" t="s">
        <v>38</v>
      </c>
      <c r="E48" s="16">
        <v>0</v>
      </c>
      <c r="F48" s="17">
        <v>2079080000</v>
      </c>
      <c r="G48" s="2" t="s">
        <v>163</v>
      </c>
    </row>
    <row r="49" spans="2:7" x14ac:dyDescent="0.2">
      <c r="B49" s="6" t="s">
        <v>86</v>
      </c>
      <c r="C49" s="6">
        <v>1008</v>
      </c>
      <c r="D49" s="6" t="s">
        <v>40</v>
      </c>
      <c r="E49" s="16">
        <v>0</v>
      </c>
      <c r="F49" s="17">
        <v>2079080000</v>
      </c>
      <c r="G49" s="2" t="s">
        <v>164</v>
      </c>
    </row>
    <row r="50" spans="2:7" x14ac:dyDescent="0.2">
      <c r="B50" s="6" t="s">
        <v>87</v>
      </c>
      <c r="C50" s="6">
        <v>1009</v>
      </c>
      <c r="D50" s="6" t="s">
        <v>36</v>
      </c>
      <c r="E50" s="16">
        <v>0</v>
      </c>
      <c r="F50" s="17">
        <v>2082280000</v>
      </c>
      <c r="G50" s="2" t="s">
        <v>165</v>
      </c>
    </row>
    <row r="51" spans="2:7" x14ac:dyDescent="0.2">
      <c r="B51" s="6" t="s">
        <v>87</v>
      </c>
      <c r="C51" s="6">
        <v>1007</v>
      </c>
      <c r="D51" s="6" t="s">
        <v>38</v>
      </c>
      <c r="E51" s="16">
        <v>0</v>
      </c>
      <c r="F51" s="17">
        <v>2082280000</v>
      </c>
      <c r="G51" s="2" t="s">
        <v>166</v>
      </c>
    </row>
    <row r="52" spans="2:7" x14ac:dyDescent="0.2">
      <c r="B52" s="6" t="s">
        <v>87</v>
      </c>
      <c r="C52" s="6">
        <v>1008</v>
      </c>
      <c r="D52" s="6" t="s">
        <v>40</v>
      </c>
      <c r="E52" s="16">
        <v>0</v>
      </c>
      <c r="F52" s="17">
        <v>2082280000</v>
      </c>
      <c r="G52" s="2" t="s">
        <v>167</v>
      </c>
    </row>
    <row r="53" spans="2:7" x14ac:dyDescent="0.2">
      <c r="B53" s="6" t="s">
        <v>87</v>
      </c>
      <c r="C53" s="6">
        <v>1240</v>
      </c>
      <c r="D53" s="6" t="s">
        <v>45</v>
      </c>
      <c r="E53" s="16">
        <v>-35810.228000000003</v>
      </c>
      <c r="F53" s="17">
        <v>2082280000</v>
      </c>
      <c r="G53" s="2" t="s">
        <v>168</v>
      </c>
    </row>
    <row r="54" spans="2:7" x14ac:dyDescent="0.2">
      <c r="B54" s="6" t="s">
        <v>87</v>
      </c>
      <c r="C54" s="6">
        <v>111111</v>
      </c>
      <c r="D54" s="6" t="s">
        <v>104</v>
      </c>
      <c r="E54" s="16">
        <v>-51927.417999999998</v>
      </c>
      <c r="F54" s="17">
        <v>2082280000</v>
      </c>
      <c r="G54" s="2" t="s">
        <v>169</v>
      </c>
    </row>
    <row r="55" spans="2:7" x14ac:dyDescent="0.2">
      <c r="B55" s="6" t="s">
        <v>10</v>
      </c>
      <c r="C55" s="6">
        <v>111101</v>
      </c>
      <c r="D55" s="6" t="s">
        <v>1</v>
      </c>
      <c r="E55" s="16">
        <v>-862270.63399999996</v>
      </c>
      <c r="F55" s="17">
        <v>2082202000</v>
      </c>
      <c r="G55" s="2" t="s">
        <v>170</v>
      </c>
    </row>
    <row r="56" spans="2:7" x14ac:dyDescent="0.2">
      <c r="B56" s="6" t="s">
        <v>88</v>
      </c>
      <c r="C56" s="6">
        <v>111101</v>
      </c>
      <c r="D56" s="6" t="s">
        <v>1</v>
      </c>
      <c r="E56" s="16">
        <v>22763</v>
      </c>
      <c r="F56" s="17">
        <v>2082208200</v>
      </c>
      <c r="G56" s="2" t="s">
        <v>171</v>
      </c>
    </row>
    <row r="57" spans="2:7" x14ac:dyDescent="0.2">
      <c r="B57" s="6" t="s">
        <v>89</v>
      </c>
      <c r="C57" s="6">
        <v>88</v>
      </c>
      <c r="D57" s="6" t="s">
        <v>33</v>
      </c>
      <c r="E57" s="16">
        <v>2930430.0120000001</v>
      </c>
      <c r="F57" s="17">
        <v>2082214000</v>
      </c>
      <c r="G57" s="2" t="s">
        <v>172</v>
      </c>
    </row>
    <row r="58" spans="2:7" x14ac:dyDescent="0.2">
      <c r="B58" s="6" t="s">
        <v>90</v>
      </c>
      <c r="C58" s="6">
        <v>111101</v>
      </c>
      <c r="D58" s="6" t="s">
        <v>1</v>
      </c>
      <c r="E58" s="16">
        <v>-49378.641999999993</v>
      </c>
      <c r="F58" s="17">
        <v>2091200000</v>
      </c>
      <c r="G58" s="2" t="s">
        <v>173</v>
      </c>
    </row>
    <row r="59" spans="2:7" x14ac:dyDescent="0.2">
      <c r="B59" s="6" t="s">
        <v>91</v>
      </c>
      <c r="C59" s="6">
        <v>111101</v>
      </c>
      <c r="D59" s="6" t="s">
        <v>1</v>
      </c>
      <c r="E59" s="16">
        <v>516250.67</v>
      </c>
      <c r="F59" s="17">
        <v>2091200001</v>
      </c>
      <c r="G59" s="2" t="s">
        <v>174</v>
      </c>
    </row>
    <row r="60" spans="2:7" x14ac:dyDescent="0.2">
      <c r="B60" s="6" t="s">
        <v>92</v>
      </c>
      <c r="C60" s="6">
        <v>111101</v>
      </c>
      <c r="D60" s="6" t="s">
        <v>1</v>
      </c>
      <c r="E60" s="16">
        <v>21593.093999999997</v>
      </c>
      <c r="F60" s="17">
        <v>2092200000</v>
      </c>
      <c r="G60" s="2" t="s">
        <v>175</v>
      </c>
    </row>
    <row r="61" spans="2:7" x14ac:dyDescent="0.2">
      <c r="B61" s="18" t="s">
        <v>65</v>
      </c>
      <c r="C61" s="18">
        <v>111101</v>
      </c>
      <c r="D61" s="18" t="s">
        <v>1</v>
      </c>
      <c r="E61" s="19">
        <v>-2904117.9939999986</v>
      </c>
      <c r="F61" s="20">
        <v>2999999999</v>
      </c>
      <c r="G61" s="2" t="s">
        <v>176</v>
      </c>
    </row>
    <row r="62" spans="2:7" x14ac:dyDescent="0.2">
      <c r="C62" s="6"/>
      <c r="F62" s="5"/>
    </row>
    <row r="63" spans="2:7" x14ac:dyDescent="0.2">
      <c r="C63" s="6"/>
      <c r="F63" s="5"/>
    </row>
    <row r="64" spans="2:7" x14ac:dyDescent="0.2">
      <c r="C64" s="6"/>
      <c r="F64" s="5"/>
    </row>
    <row r="65" spans="3:6" x14ac:dyDescent="0.2">
      <c r="C65" s="6"/>
      <c r="F65" s="5"/>
    </row>
    <row r="66" spans="3:6" x14ac:dyDescent="0.2">
      <c r="C66" s="6"/>
      <c r="F66" s="5"/>
    </row>
    <row r="67" spans="3:6" x14ac:dyDescent="0.2">
      <c r="C67" s="6"/>
      <c r="F67" s="5"/>
    </row>
    <row r="68" spans="3:6" x14ac:dyDescent="0.2">
      <c r="C68" s="6"/>
      <c r="F68" s="5"/>
    </row>
    <row r="69" spans="3:6" x14ac:dyDescent="0.2">
      <c r="C69" s="6"/>
      <c r="F69" s="5"/>
    </row>
    <row r="70" spans="3:6" x14ac:dyDescent="0.2">
      <c r="C70" s="6"/>
      <c r="F70" s="5"/>
    </row>
    <row r="71" spans="3:6" x14ac:dyDescent="0.2">
      <c r="C71" s="6"/>
      <c r="F71" s="5"/>
    </row>
    <row r="72" spans="3:6" x14ac:dyDescent="0.2">
      <c r="C72" s="6"/>
      <c r="F72" s="5"/>
    </row>
    <row r="73" spans="3:6" x14ac:dyDescent="0.2">
      <c r="C73" s="6"/>
      <c r="F73" s="5"/>
    </row>
    <row r="74" spans="3:6" x14ac:dyDescent="0.2">
      <c r="C74" s="6"/>
      <c r="F74" s="5"/>
    </row>
    <row r="75" spans="3:6" x14ac:dyDescent="0.2">
      <c r="C75" s="6"/>
      <c r="F75" s="5"/>
    </row>
    <row r="76" spans="3:6" x14ac:dyDescent="0.2">
      <c r="C76" s="6"/>
      <c r="F76" s="5"/>
    </row>
    <row r="77" spans="3:6" x14ac:dyDescent="0.2">
      <c r="C77" s="6"/>
      <c r="F77" s="5"/>
    </row>
    <row r="78" spans="3:6" x14ac:dyDescent="0.2">
      <c r="C78" s="6"/>
      <c r="F78" s="5"/>
    </row>
    <row r="79" spans="3:6" x14ac:dyDescent="0.2">
      <c r="C79" s="6"/>
      <c r="F79" s="5"/>
    </row>
    <row r="80" spans="3:6" x14ac:dyDescent="0.2">
      <c r="C80" s="6"/>
      <c r="F80" s="5"/>
    </row>
    <row r="81" spans="3:6" x14ac:dyDescent="0.2">
      <c r="C81" s="6"/>
      <c r="F81" s="5"/>
    </row>
    <row r="82" spans="3:6" x14ac:dyDescent="0.2">
      <c r="C82" s="6"/>
      <c r="F82" s="5"/>
    </row>
    <row r="83" spans="3:6" x14ac:dyDescent="0.2">
      <c r="C83" s="6"/>
      <c r="F83" s="5"/>
    </row>
    <row r="84" spans="3:6" x14ac:dyDescent="0.2">
      <c r="C84" s="6"/>
      <c r="F84" s="5"/>
    </row>
    <row r="85" spans="3:6" x14ac:dyDescent="0.2">
      <c r="C85" s="6"/>
      <c r="F85" s="5"/>
    </row>
    <row r="86" spans="3:6" x14ac:dyDescent="0.2">
      <c r="C86" s="6"/>
      <c r="F86" s="5"/>
    </row>
    <row r="87" spans="3:6" x14ac:dyDescent="0.2">
      <c r="C87" s="6"/>
      <c r="F87" s="5"/>
    </row>
    <row r="88" spans="3:6" x14ac:dyDescent="0.2">
      <c r="C88" s="6"/>
      <c r="F88" s="5"/>
    </row>
    <row r="89" spans="3:6" x14ac:dyDescent="0.2">
      <c r="C89" s="6"/>
      <c r="F89" s="5"/>
    </row>
    <row r="90" spans="3:6" x14ac:dyDescent="0.2">
      <c r="C90" s="6"/>
      <c r="F90" s="5"/>
    </row>
    <row r="91" spans="3:6" x14ac:dyDescent="0.2">
      <c r="C91" s="6"/>
      <c r="F91" s="5"/>
    </row>
    <row r="92" spans="3:6" x14ac:dyDescent="0.2">
      <c r="C92" s="6"/>
      <c r="F92" s="5"/>
    </row>
    <row r="93" spans="3:6" x14ac:dyDescent="0.2">
      <c r="C93" s="6"/>
      <c r="F93" s="5"/>
    </row>
    <row r="94" spans="3:6" x14ac:dyDescent="0.2">
      <c r="C94" s="6"/>
      <c r="F94" s="5"/>
    </row>
    <row r="95" spans="3:6" x14ac:dyDescent="0.2">
      <c r="C95" s="6"/>
      <c r="F95" s="5"/>
    </row>
    <row r="96" spans="3:6" x14ac:dyDescent="0.2">
      <c r="C96" s="6"/>
      <c r="F96" s="5"/>
    </row>
  </sheetData>
  <autoFilter ref="B4:F6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29"/>
  <sheetViews>
    <sheetView workbookViewId="0">
      <selection activeCell="G11" sqref="G11"/>
    </sheetView>
  </sheetViews>
  <sheetFormatPr defaultColWidth="9.109375" defaultRowHeight="11.4" x14ac:dyDescent="0.2"/>
  <cols>
    <col min="1" max="1" width="2" style="2" customWidth="1"/>
    <col min="2" max="2" width="34.88671875" style="2" bestFit="1" customWidth="1"/>
    <col min="3" max="3" width="21.109375" style="2" bestFit="1" customWidth="1"/>
    <col min="4" max="4" width="37.5546875" style="2" bestFit="1" customWidth="1"/>
    <col min="5" max="5" width="11.5546875" style="2" bestFit="1" customWidth="1"/>
    <col min="6" max="6" width="15.21875" style="2" bestFit="1" customWidth="1"/>
    <col min="7" max="7" width="15.109375" style="2" bestFit="1" customWidth="1"/>
    <col min="8" max="16384" width="9.109375" style="2"/>
  </cols>
  <sheetData>
    <row r="1" spans="2:7" ht="15.6" x14ac:dyDescent="0.3">
      <c r="B1" s="3" t="s">
        <v>114</v>
      </c>
    </row>
    <row r="4" spans="2:7" x14ac:dyDescent="0.2">
      <c r="B4" s="2" t="s">
        <v>116</v>
      </c>
      <c r="C4" s="2" t="s">
        <v>0</v>
      </c>
      <c r="D4" s="2" t="s">
        <v>117</v>
      </c>
      <c r="E4" s="2" t="s">
        <v>102</v>
      </c>
      <c r="F4" s="2" t="s">
        <v>118</v>
      </c>
      <c r="G4" s="2" t="s">
        <v>177</v>
      </c>
    </row>
    <row r="5" spans="2:7" x14ac:dyDescent="0.2">
      <c r="B5" s="6" t="s">
        <v>66</v>
      </c>
      <c r="C5" s="6">
        <v>105</v>
      </c>
      <c r="D5" s="6" t="s">
        <v>34</v>
      </c>
      <c r="E5" s="16">
        <v>-355396.61499999999</v>
      </c>
      <c r="F5" s="6">
        <v>2001110000</v>
      </c>
      <c r="G5" s="2" t="s">
        <v>178</v>
      </c>
    </row>
    <row r="6" spans="2:7" x14ac:dyDescent="0.2">
      <c r="B6" s="6" t="s">
        <v>66</v>
      </c>
      <c r="C6" s="6">
        <v>111111</v>
      </c>
      <c r="D6" s="6" t="s">
        <v>104</v>
      </c>
      <c r="E6" s="16">
        <v>-15792898.75</v>
      </c>
      <c r="F6" s="6">
        <v>2001110000</v>
      </c>
      <c r="G6" s="2" t="s">
        <v>121</v>
      </c>
    </row>
    <row r="7" spans="2:7" x14ac:dyDescent="0.2">
      <c r="B7" s="6" t="s">
        <v>67</v>
      </c>
      <c r="C7" s="6">
        <v>111111</v>
      </c>
      <c r="D7" s="6" t="s">
        <v>104</v>
      </c>
      <c r="E7" s="16">
        <v>-6960217.6449999996</v>
      </c>
      <c r="F7" s="6">
        <v>2001190000</v>
      </c>
      <c r="G7" s="2" t="s">
        <v>122</v>
      </c>
    </row>
    <row r="8" spans="2:7" x14ac:dyDescent="0.2">
      <c r="B8" s="6" t="s">
        <v>68</v>
      </c>
      <c r="C8" s="6" t="s">
        <v>11</v>
      </c>
      <c r="D8" s="6" t="s">
        <v>48</v>
      </c>
      <c r="E8" s="16">
        <v>-420017.14999999997</v>
      </c>
      <c r="F8" s="6">
        <v>2020000000</v>
      </c>
      <c r="G8" s="2" t="s">
        <v>179</v>
      </c>
    </row>
    <row r="9" spans="2:7" x14ac:dyDescent="0.2">
      <c r="B9" s="6" t="s">
        <v>68</v>
      </c>
      <c r="C9" s="6">
        <v>1007</v>
      </c>
      <c r="D9" s="6" t="s">
        <v>38</v>
      </c>
      <c r="E9" s="16">
        <v>-89234.880000000005</v>
      </c>
      <c r="F9" s="6">
        <v>2020000000</v>
      </c>
      <c r="G9" s="2" t="s">
        <v>120</v>
      </c>
    </row>
    <row r="10" spans="2:7" x14ac:dyDescent="0.2">
      <c r="B10" s="6" t="s">
        <v>68</v>
      </c>
      <c r="C10" s="6">
        <v>1008</v>
      </c>
      <c r="D10" s="6" t="s">
        <v>40</v>
      </c>
      <c r="E10" s="16">
        <v>-26173</v>
      </c>
      <c r="F10" s="6">
        <v>2020000000</v>
      </c>
      <c r="G10" s="2" t="s">
        <v>124</v>
      </c>
    </row>
    <row r="11" spans="2:7" x14ac:dyDescent="0.2">
      <c r="B11" s="6" t="s">
        <v>68</v>
      </c>
      <c r="C11" s="6">
        <v>111101</v>
      </c>
      <c r="D11" s="6" t="s">
        <v>1</v>
      </c>
      <c r="E11" s="16">
        <v>-209401.92</v>
      </c>
      <c r="F11" s="6">
        <v>2020000000</v>
      </c>
      <c r="G11" s="2" t="s">
        <v>125</v>
      </c>
    </row>
    <row r="12" spans="2:7" x14ac:dyDescent="0.2">
      <c r="B12" s="6" t="s">
        <v>106</v>
      </c>
      <c r="C12" s="6">
        <v>111111</v>
      </c>
      <c r="D12" s="6" t="s">
        <v>104</v>
      </c>
      <c r="E12" s="16">
        <v>14589.33</v>
      </c>
      <c r="F12" s="6">
        <v>2021210000</v>
      </c>
      <c r="G12" s="2" t="s">
        <v>180</v>
      </c>
    </row>
    <row r="13" spans="2:7" x14ac:dyDescent="0.2">
      <c r="B13" s="6" t="s">
        <v>105</v>
      </c>
      <c r="C13" s="6">
        <v>111111</v>
      </c>
      <c r="D13" s="6" t="s">
        <v>104</v>
      </c>
      <c r="E13" s="16">
        <v>5463188.8250000002</v>
      </c>
      <c r="F13" s="6">
        <v>2021900000</v>
      </c>
      <c r="G13" s="2" t="s">
        <v>126</v>
      </c>
    </row>
    <row r="14" spans="2:7" x14ac:dyDescent="0.2">
      <c r="B14" s="6" t="s">
        <v>70</v>
      </c>
      <c r="C14" s="6">
        <v>111111</v>
      </c>
      <c r="D14" s="6" t="s">
        <v>104</v>
      </c>
      <c r="E14" s="16">
        <v>343675</v>
      </c>
      <c r="F14" s="6">
        <v>2024080000</v>
      </c>
      <c r="G14" s="2" t="s">
        <v>127</v>
      </c>
    </row>
    <row r="15" spans="2:7" x14ac:dyDescent="0.2">
      <c r="B15" s="6" t="s">
        <v>69</v>
      </c>
      <c r="C15" s="6">
        <v>19</v>
      </c>
      <c r="D15" s="6" t="s">
        <v>42</v>
      </c>
      <c r="E15" s="16">
        <v>38521</v>
      </c>
      <c r="F15" s="6">
        <v>2024090000</v>
      </c>
      <c r="G15" s="2" t="s">
        <v>181</v>
      </c>
    </row>
    <row r="16" spans="2:7" x14ac:dyDescent="0.2">
      <c r="B16" s="6" t="s">
        <v>69</v>
      </c>
      <c r="C16" s="6">
        <v>88</v>
      </c>
      <c r="D16" s="6" t="s">
        <v>33</v>
      </c>
      <c r="E16" s="16">
        <v>1980162.23</v>
      </c>
      <c r="F16" s="6">
        <v>2024090000</v>
      </c>
      <c r="G16" s="2" t="s">
        <v>128</v>
      </c>
    </row>
    <row r="17" spans="2:7" x14ac:dyDescent="0.2">
      <c r="B17" s="6" t="s">
        <v>69</v>
      </c>
      <c r="C17" s="6" t="s">
        <v>12</v>
      </c>
      <c r="D17" s="6" t="s">
        <v>35</v>
      </c>
      <c r="E17" s="16">
        <v>1820</v>
      </c>
      <c r="F17" s="6">
        <v>2024090000</v>
      </c>
      <c r="G17" s="2" t="s">
        <v>182</v>
      </c>
    </row>
    <row r="18" spans="2:7" x14ac:dyDescent="0.2">
      <c r="B18" s="6" t="s">
        <v>69</v>
      </c>
      <c r="C18" s="6" t="s">
        <v>13</v>
      </c>
      <c r="D18" s="6" t="s">
        <v>37</v>
      </c>
      <c r="E18" s="16">
        <v>10448.129999999999</v>
      </c>
      <c r="F18" s="6">
        <v>2024090000</v>
      </c>
      <c r="G18" s="2" t="s">
        <v>183</v>
      </c>
    </row>
    <row r="19" spans="2:7" x14ac:dyDescent="0.2">
      <c r="B19" s="6" t="s">
        <v>69</v>
      </c>
      <c r="C19" s="6" t="s">
        <v>14</v>
      </c>
      <c r="D19" s="6" t="s">
        <v>50</v>
      </c>
      <c r="E19" s="16">
        <v>10412.5</v>
      </c>
      <c r="F19" s="6">
        <v>2024090000</v>
      </c>
      <c r="G19" s="2" t="s">
        <v>184</v>
      </c>
    </row>
    <row r="20" spans="2:7" x14ac:dyDescent="0.2">
      <c r="B20" s="6" t="s">
        <v>69</v>
      </c>
      <c r="C20" s="6">
        <v>111111</v>
      </c>
      <c r="D20" s="6" t="s">
        <v>104</v>
      </c>
      <c r="E20" s="16">
        <v>27148.625</v>
      </c>
      <c r="F20" s="6">
        <v>2024090000</v>
      </c>
      <c r="G20" s="2" t="s">
        <v>129</v>
      </c>
    </row>
    <row r="21" spans="2:7" x14ac:dyDescent="0.2">
      <c r="B21" s="6" t="s">
        <v>2</v>
      </c>
      <c r="C21" s="6">
        <v>111111</v>
      </c>
      <c r="D21" s="6" t="s">
        <v>104</v>
      </c>
      <c r="E21" s="16">
        <v>5507141.0549999997</v>
      </c>
      <c r="F21" s="6">
        <v>2041000000</v>
      </c>
      <c r="G21" s="2" t="s">
        <v>130</v>
      </c>
    </row>
    <row r="22" spans="2:7" x14ac:dyDescent="0.2">
      <c r="B22" s="6" t="s">
        <v>3</v>
      </c>
      <c r="C22" s="6">
        <v>111101</v>
      </c>
      <c r="D22" s="6" t="s">
        <v>1</v>
      </c>
      <c r="E22" s="16">
        <v>1752994.18</v>
      </c>
      <c r="F22" s="6">
        <v>2042000000</v>
      </c>
      <c r="G22" s="2" t="s">
        <v>131</v>
      </c>
    </row>
    <row r="23" spans="2:7" x14ac:dyDescent="0.2">
      <c r="B23" s="6" t="s">
        <v>71</v>
      </c>
      <c r="C23" s="6">
        <v>111101</v>
      </c>
      <c r="D23" s="6" t="s">
        <v>1</v>
      </c>
      <c r="E23" s="16">
        <v>304303.86000000004</v>
      </c>
      <c r="F23" s="6">
        <v>2042000000</v>
      </c>
      <c r="G23" s="2" t="s">
        <v>131</v>
      </c>
    </row>
    <row r="24" spans="2:7" x14ac:dyDescent="0.2">
      <c r="B24" s="6" t="s">
        <v>72</v>
      </c>
      <c r="C24" s="6">
        <v>111101</v>
      </c>
      <c r="D24" s="6" t="s">
        <v>1</v>
      </c>
      <c r="E24" s="16">
        <v>500500</v>
      </c>
      <c r="F24" s="6">
        <v>2045000000</v>
      </c>
      <c r="G24" s="2" t="s">
        <v>133</v>
      </c>
    </row>
    <row r="25" spans="2:7" x14ac:dyDescent="0.2">
      <c r="B25" s="6" t="s">
        <v>15</v>
      </c>
      <c r="C25" s="6">
        <v>111101</v>
      </c>
      <c r="D25" s="6" t="s">
        <v>1</v>
      </c>
      <c r="E25" s="16">
        <v>6919.8499999999995</v>
      </c>
      <c r="F25" s="6">
        <v>2049000000</v>
      </c>
      <c r="G25" s="2" t="s">
        <v>185</v>
      </c>
    </row>
    <row r="26" spans="2:7" x14ac:dyDescent="0.2">
      <c r="B26" s="6" t="s">
        <v>73</v>
      </c>
      <c r="C26" s="6">
        <v>111101</v>
      </c>
      <c r="D26" s="6" t="s">
        <v>1</v>
      </c>
      <c r="E26" s="16">
        <v>1897676.87</v>
      </c>
      <c r="F26" s="6">
        <v>2051210000</v>
      </c>
      <c r="G26" s="2" t="s">
        <v>134</v>
      </c>
    </row>
    <row r="27" spans="2:7" x14ac:dyDescent="0.2">
      <c r="B27" s="6" t="s">
        <v>73</v>
      </c>
      <c r="C27" s="6">
        <v>111101</v>
      </c>
      <c r="D27" s="6" t="s">
        <v>1</v>
      </c>
      <c r="E27" s="16">
        <v>146328.94499999998</v>
      </c>
      <c r="F27" s="6">
        <v>2051260000</v>
      </c>
      <c r="G27" s="2" t="s">
        <v>186</v>
      </c>
    </row>
    <row r="28" spans="2:7" x14ac:dyDescent="0.2">
      <c r="B28" s="6" t="s">
        <v>16</v>
      </c>
      <c r="C28" s="6">
        <v>111111</v>
      </c>
      <c r="D28" s="6" t="s">
        <v>104</v>
      </c>
      <c r="E28" s="16">
        <v>-121553.07499999998</v>
      </c>
      <c r="F28" s="6">
        <v>2060220000</v>
      </c>
      <c r="G28" s="2" t="s">
        <v>187</v>
      </c>
    </row>
    <row r="29" spans="2:7" x14ac:dyDescent="0.2">
      <c r="B29" s="6" t="s">
        <v>74</v>
      </c>
      <c r="C29" s="6" t="s">
        <v>4</v>
      </c>
      <c r="D29" s="6" t="s">
        <v>41</v>
      </c>
      <c r="E29" s="16">
        <v>-1643711.145</v>
      </c>
      <c r="F29" s="6">
        <v>2069010000</v>
      </c>
      <c r="G29" s="2" t="s">
        <v>136</v>
      </c>
    </row>
    <row r="30" spans="2:7" x14ac:dyDescent="0.2">
      <c r="B30" s="6" t="s">
        <v>74</v>
      </c>
      <c r="C30" s="6">
        <v>19</v>
      </c>
      <c r="D30" s="6" t="s">
        <v>42</v>
      </c>
      <c r="E30" s="16">
        <v>-416278.66</v>
      </c>
      <c r="F30" s="6">
        <v>2069010000</v>
      </c>
      <c r="G30" s="2" t="s">
        <v>188</v>
      </c>
    </row>
    <row r="31" spans="2:7" x14ac:dyDescent="0.2">
      <c r="B31" s="6" t="s">
        <v>74</v>
      </c>
      <c r="C31" s="6" t="s">
        <v>17</v>
      </c>
      <c r="D31" s="6" t="s">
        <v>52</v>
      </c>
      <c r="E31" s="16">
        <v>-364243.84499999997</v>
      </c>
      <c r="F31" s="6">
        <v>2069010000</v>
      </c>
      <c r="G31" s="2" t="s">
        <v>189</v>
      </c>
    </row>
    <row r="32" spans="2:7" x14ac:dyDescent="0.2">
      <c r="B32" s="6" t="s">
        <v>74</v>
      </c>
      <c r="C32" s="6" t="s">
        <v>11</v>
      </c>
      <c r="D32" s="6" t="s">
        <v>48</v>
      </c>
      <c r="E32" s="16">
        <v>0</v>
      </c>
      <c r="F32" s="6">
        <v>2069010000</v>
      </c>
      <c r="G32" s="2" t="s">
        <v>190</v>
      </c>
    </row>
    <row r="33" spans="2:7" x14ac:dyDescent="0.2">
      <c r="B33" s="6" t="s">
        <v>74</v>
      </c>
      <c r="C33" s="6">
        <v>1009</v>
      </c>
      <c r="D33" s="6" t="s">
        <v>36</v>
      </c>
      <c r="E33" s="16">
        <v>0</v>
      </c>
      <c r="F33" s="6">
        <v>2069010000</v>
      </c>
      <c r="G33" s="2" t="s">
        <v>140</v>
      </c>
    </row>
    <row r="34" spans="2:7" x14ac:dyDescent="0.2">
      <c r="B34" s="6" t="s">
        <v>74</v>
      </c>
      <c r="C34" s="6">
        <v>1007</v>
      </c>
      <c r="D34" s="6" t="s">
        <v>38</v>
      </c>
      <c r="E34" s="16">
        <v>0</v>
      </c>
      <c r="F34" s="6">
        <v>2069010000</v>
      </c>
      <c r="G34" s="2" t="s">
        <v>141</v>
      </c>
    </row>
    <row r="35" spans="2:7" x14ac:dyDescent="0.2">
      <c r="B35" s="6" t="s">
        <v>74</v>
      </c>
      <c r="C35" s="6">
        <v>1008</v>
      </c>
      <c r="D35" s="6" t="s">
        <v>40</v>
      </c>
      <c r="E35" s="16">
        <v>0</v>
      </c>
      <c r="F35" s="6">
        <v>2069010000</v>
      </c>
      <c r="G35" s="2" t="s">
        <v>142</v>
      </c>
    </row>
    <row r="36" spans="2:7" x14ac:dyDescent="0.2">
      <c r="B36" s="6" t="s">
        <v>74</v>
      </c>
      <c r="C36" s="6">
        <v>1240</v>
      </c>
      <c r="D36" s="6" t="s">
        <v>45</v>
      </c>
      <c r="E36" s="16">
        <v>-10461.36</v>
      </c>
      <c r="F36" s="6">
        <v>2069010000</v>
      </c>
      <c r="G36" s="2" t="s">
        <v>143</v>
      </c>
    </row>
    <row r="37" spans="2:7" x14ac:dyDescent="0.2">
      <c r="B37" s="6" t="s">
        <v>74</v>
      </c>
      <c r="C37" s="6">
        <v>1007</v>
      </c>
      <c r="D37" s="6" t="s">
        <v>39</v>
      </c>
      <c r="E37" s="16">
        <v>0</v>
      </c>
      <c r="F37" s="6">
        <v>2069010000</v>
      </c>
      <c r="G37" s="2" t="s">
        <v>141</v>
      </c>
    </row>
    <row r="38" spans="2:7" x14ac:dyDescent="0.2">
      <c r="B38" s="6" t="s">
        <v>74</v>
      </c>
      <c r="C38" s="6" t="s">
        <v>18</v>
      </c>
      <c r="D38" s="6" t="s">
        <v>53</v>
      </c>
      <c r="E38" s="16">
        <v>-482611.04499999998</v>
      </c>
      <c r="F38" s="6">
        <v>2069010000</v>
      </c>
      <c r="G38" s="2" t="s">
        <v>191</v>
      </c>
    </row>
    <row r="39" spans="2:7" x14ac:dyDescent="0.2">
      <c r="B39" s="6" t="s">
        <v>74</v>
      </c>
      <c r="C39" s="6">
        <v>111111</v>
      </c>
      <c r="D39" s="6" t="s">
        <v>104</v>
      </c>
      <c r="E39" s="16">
        <v>-6785.94</v>
      </c>
      <c r="F39" s="6">
        <v>2069010000</v>
      </c>
      <c r="G39" s="2" t="s">
        <v>144</v>
      </c>
    </row>
    <row r="40" spans="2:7" x14ac:dyDescent="0.2">
      <c r="B40" s="6" t="s">
        <v>75</v>
      </c>
      <c r="C40" s="6">
        <v>88</v>
      </c>
      <c r="D40" s="6" t="s">
        <v>33</v>
      </c>
      <c r="E40" s="16">
        <v>-2436.35</v>
      </c>
      <c r="F40" s="6">
        <v>2069980000</v>
      </c>
      <c r="G40" s="2" t="s">
        <v>192</v>
      </c>
    </row>
    <row r="41" spans="2:7" x14ac:dyDescent="0.2">
      <c r="B41" s="6" t="s">
        <v>75</v>
      </c>
      <c r="C41" s="6">
        <v>111111</v>
      </c>
      <c r="D41" s="6" t="s">
        <v>104</v>
      </c>
      <c r="E41" s="16">
        <v>9793.84</v>
      </c>
      <c r="F41" s="6">
        <v>2069980000</v>
      </c>
      <c r="G41" s="2" t="s">
        <v>145</v>
      </c>
    </row>
    <row r="42" spans="2:7" x14ac:dyDescent="0.2">
      <c r="B42" s="6" t="s">
        <v>19</v>
      </c>
      <c r="C42" s="6">
        <v>111101</v>
      </c>
      <c r="D42" s="6" t="s">
        <v>1</v>
      </c>
      <c r="E42" s="16">
        <v>81.339999999999989</v>
      </c>
      <c r="F42" s="6">
        <v>2070290000</v>
      </c>
      <c r="G42" s="2" t="s">
        <v>193</v>
      </c>
    </row>
    <row r="43" spans="2:7" x14ac:dyDescent="0.2">
      <c r="B43" s="6" t="s">
        <v>76</v>
      </c>
      <c r="C43" s="6">
        <v>111111</v>
      </c>
      <c r="D43" s="6" t="s">
        <v>104</v>
      </c>
      <c r="E43" s="16">
        <v>65947.7</v>
      </c>
      <c r="F43" s="6">
        <v>2070400000</v>
      </c>
      <c r="G43" s="2" t="s">
        <v>146</v>
      </c>
    </row>
    <row r="44" spans="2:7" x14ac:dyDescent="0.2">
      <c r="B44" s="6" t="s">
        <v>77</v>
      </c>
      <c r="C44" s="6">
        <v>111111</v>
      </c>
      <c r="D44" s="6" t="s">
        <v>104</v>
      </c>
      <c r="E44" s="16">
        <v>5138.91</v>
      </c>
      <c r="F44" s="6">
        <v>2070500000</v>
      </c>
      <c r="G44" s="2" t="s">
        <v>148</v>
      </c>
    </row>
    <row r="45" spans="2:7" x14ac:dyDescent="0.2">
      <c r="B45" s="6" t="s">
        <v>78</v>
      </c>
      <c r="C45" s="6">
        <v>111111</v>
      </c>
      <c r="D45" s="6" t="s">
        <v>104</v>
      </c>
      <c r="E45" s="16">
        <v>1055381.4750000001</v>
      </c>
      <c r="F45" s="6">
        <v>2070600000</v>
      </c>
      <c r="G45" s="2" t="s">
        <v>149</v>
      </c>
    </row>
    <row r="46" spans="2:7" x14ac:dyDescent="0.2">
      <c r="B46" s="6" t="s">
        <v>79</v>
      </c>
      <c r="C46" s="6" t="s">
        <v>7</v>
      </c>
      <c r="D46" s="6" t="s">
        <v>44</v>
      </c>
      <c r="E46" s="16">
        <v>430845.34499999997</v>
      </c>
      <c r="F46" s="6">
        <v>2070900000</v>
      </c>
      <c r="G46" s="2" t="s">
        <v>151</v>
      </c>
    </row>
    <row r="47" spans="2:7" x14ac:dyDescent="0.2">
      <c r="B47" s="6" t="s">
        <v>79</v>
      </c>
      <c r="C47" s="6">
        <v>105</v>
      </c>
      <c r="D47" s="6" t="s">
        <v>34</v>
      </c>
      <c r="E47" s="16">
        <v>276920</v>
      </c>
      <c r="F47" s="6">
        <v>2070900000</v>
      </c>
      <c r="G47" s="2" t="s">
        <v>194</v>
      </c>
    </row>
    <row r="48" spans="2:7" x14ac:dyDescent="0.2">
      <c r="B48" s="6" t="s">
        <v>79</v>
      </c>
      <c r="C48" s="6">
        <v>111111</v>
      </c>
      <c r="D48" s="6" t="s">
        <v>104</v>
      </c>
      <c r="E48" s="16">
        <v>1130021</v>
      </c>
      <c r="F48" s="6">
        <v>2070900000</v>
      </c>
      <c r="G48" s="2" t="s">
        <v>152</v>
      </c>
    </row>
    <row r="49" spans="2:7" x14ac:dyDescent="0.2">
      <c r="B49" s="6" t="s">
        <v>8</v>
      </c>
      <c r="C49" s="6">
        <v>111111</v>
      </c>
      <c r="D49" s="6" t="s">
        <v>104</v>
      </c>
      <c r="E49" s="16">
        <v>7293.5450000000001</v>
      </c>
      <c r="F49" s="6">
        <v>2071000000</v>
      </c>
      <c r="G49" s="2" t="s">
        <v>153</v>
      </c>
    </row>
    <row r="50" spans="2:7" x14ac:dyDescent="0.2">
      <c r="B50" s="6" t="s">
        <v>80</v>
      </c>
      <c r="C50" s="6">
        <v>1900</v>
      </c>
      <c r="D50" s="6" t="s">
        <v>54</v>
      </c>
      <c r="E50" s="16">
        <v>0</v>
      </c>
      <c r="F50" s="6">
        <v>2071100000</v>
      </c>
      <c r="G50" s="2" t="s">
        <v>195</v>
      </c>
    </row>
    <row r="51" spans="2:7" x14ac:dyDescent="0.2">
      <c r="B51" s="6" t="s">
        <v>80</v>
      </c>
      <c r="C51" s="6">
        <v>111111</v>
      </c>
      <c r="D51" s="6" t="s">
        <v>104</v>
      </c>
      <c r="E51" s="16">
        <v>48468.665000000001</v>
      </c>
      <c r="F51" s="6">
        <v>2071100000</v>
      </c>
      <c r="G51" s="2" t="s">
        <v>154</v>
      </c>
    </row>
    <row r="52" spans="2:7" x14ac:dyDescent="0.2">
      <c r="B52" s="6" t="s">
        <v>9</v>
      </c>
      <c r="C52" s="6" t="s">
        <v>20</v>
      </c>
      <c r="D52" s="6" t="s">
        <v>56</v>
      </c>
      <c r="E52" s="16">
        <v>23928.799999999999</v>
      </c>
      <c r="F52" s="6">
        <v>2071209200</v>
      </c>
      <c r="G52" s="2" t="s">
        <v>196</v>
      </c>
    </row>
    <row r="53" spans="2:7" x14ac:dyDescent="0.2">
      <c r="B53" s="6" t="s">
        <v>9</v>
      </c>
      <c r="C53" s="6">
        <v>111111</v>
      </c>
      <c r="D53" s="6" t="s">
        <v>104</v>
      </c>
      <c r="E53" s="16">
        <v>2393259.19</v>
      </c>
      <c r="F53" s="6">
        <v>2071209200</v>
      </c>
      <c r="G53" s="2" t="s">
        <v>155</v>
      </c>
    </row>
    <row r="54" spans="2:7" x14ac:dyDescent="0.2">
      <c r="B54" s="6" t="s">
        <v>81</v>
      </c>
      <c r="C54" s="6">
        <v>111111</v>
      </c>
      <c r="D54" s="6" t="s">
        <v>104</v>
      </c>
      <c r="E54" s="16">
        <v>23069.654999999999</v>
      </c>
      <c r="F54" s="6">
        <v>2071209400</v>
      </c>
      <c r="G54" s="2" t="s">
        <v>156</v>
      </c>
    </row>
    <row r="55" spans="2:7" x14ac:dyDescent="0.2">
      <c r="B55" s="6" t="s">
        <v>82</v>
      </c>
      <c r="C55" s="6">
        <v>111111</v>
      </c>
      <c r="D55" s="6" t="s">
        <v>104</v>
      </c>
      <c r="E55" s="16">
        <v>208366.935</v>
      </c>
      <c r="F55" s="6">
        <v>2071209500</v>
      </c>
      <c r="G55" s="2" t="s">
        <v>157</v>
      </c>
    </row>
    <row r="56" spans="2:7" x14ac:dyDescent="0.2">
      <c r="B56" s="6" t="s">
        <v>21</v>
      </c>
      <c r="C56" s="6">
        <v>111111</v>
      </c>
      <c r="D56" s="6" t="s">
        <v>104</v>
      </c>
      <c r="E56" s="16">
        <v>308232</v>
      </c>
      <c r="F56" s="6">
        <v>2071220000</v>
      </c>
      <c r="G56" s="2" t="s">
        <v>197</v>
      </c>
    </row>
    <row r="57" spans="2:7" x14ac:dyDescent="0.2">
      <c r="B57" s="6" t="s">
        <v>22</v>
      </c>
      <c r="C57" s="6">
        <v>19</v>
      </c>
      <c r="D57" s="6" t="s">
        <v>42</v>
      </c>
      <c r="E57" s="16">
        <v>13422.779999999999</v>
      </c>
      <c r="F57" s="6">
        <v>2071511000</v>
      </c>
      <c r="G57" s="2" t="s">
        <v>198</v>
      </c>
    </row>
    <row r="58" spans="2:7" x14ac:dyDescent="0.2">
      <c r="B58" s="6" t="s">
        <v>22</v>
      </c>
      <c r="C58" s="6">
        <v>111111</v>
      </c>
      <c r="D58" s="6" t="s">
        <v>104</v>
      </c>
      <c r="E58" s="16">
        <v>4045.6150000000002</v>
      </c>
      <c r="F58" s="6">
        <v>2071511000</v>
      </c>
      <c r="G58" s="2" t="s">
        <v>199</v>
      </c>
    </row>
    <row r="59" spans="2:7" x14ac:dyDescent="0.2">
      <c r="B59" s="6" t="s">
        <v>23</v>
      </c>
      <c r="C59" s="6">
        <v>111111</v>
      </c>
      <c r="D59" s="6" t="s">
        <v>104</v>
      </c>
      <c r="E59" s="16">
        <v>49621.144999999997</v>
      </c>
      <c r="F59" s="6">
        <v>2071910000</v>
      </c>
      <c r="G59" s="2" t="s">
        <v>200</v>
      </c>
    </row>
    <row r="60" spans="2:7" x14ac:dyDescent="0.2">
      <c r="B60" s="6" t="s">
        <v>83</v>
      </c>
      <c r="C60" s="6">
        <v>111101</v>
      </c>
      <c r="D60" s="6" t="s">
        <v>1</v>
      </c>
      <c r="E60" s="16">
        <v>20323.309999999998</v>
      </c>
      <c r="F60" s="6">
        <v>2071980000</v>
      </c>
      <c r="G60" s="2" t="s">
        <v>158</v>
      </c>
    </row>
    <row r="61" spans="2:7" x14ac:dyDescent="0.2">
      <c r="B61" s="6" t="s">
        <v>84</v>
      </c>
      <c r="C61" s="6">
        <v>111111</v>
      </c>
      <c r="D61" s="6" t="s">
        <v>104</v>
      </c>
      <c r="E61" s="16">
        <v>169489</v>
      </c>
      <c r="F61" s="6">
        <v>2079022000</v>
      </c>
      <c r="G61" s="2" t="s">
        <v>159</v>
      </c>
    </row>
    <row r="62" spans="2:7" x14ac:dyDescent="0.2">
      <c r="B62" s="6" t="s">
        <v>85</v>
      </c>
      <c r="C62" s="6">
        <v>19</v>
      </c>
      <c r="D62" s="6" t="s">
        <v>42</v>
      </c>
      <c r="E62" s="16">
        <v>85462.684999999998</v>
      </c>
      <c r="F62" s="6">
        <v>2079070000</v>
      </c>
      <c r="G62" s="2" t="s">
        <v>201</v>
      </c>
    </row>
    <row r="63" spans="2:7" x14ac:dyDescent="0.2">
      <c r="B63" s="6" t="s">
        <v>85</v>
      </c>
      <c r="C63" s="6" t="s">
        <v>6</v>
      </c>
      <c r="D63" s="6" t="s">
        <v>43</v>
      </c>
      <c r="E63" s="16">
        <v>11422.144999999999</v>
      </c>
      <c r="F63" s="6">
        <v>2079070000</v>
      </c>
      <c r="G63" s="2" t="s">
        <v>202</v>
      </c>
    </row>
    <row r="64" spans="2:7" x14ac:dyDescent="0.2">
      <c r="B64" s="6" t="s">
        <v>85</v>
      </c>
      <c r="C64" s="6" t="s">
        <v>13</v>
      </c>
      <c r="D64" s="6" t="s">
        <v>37</v>
      </c>
      <c r="E64" s="16">
        <v>84438.864999999991</v>
      </c>
      <c r="F64" s="6">
        <v>2079070000</v>
      </c>
      <c r="G64" s="2" t="s">
        <v>203</v>
      </c>
    </row>
    <row r="65" spans="2:7" x14ac:dyDescent="0.2">
      <c r="B65" s="6" t="s">
        <v>85</v>
      </c>
      <c r="C65" s="6">
        <v>111111</v>
      </c>
      <c r="D65" s="6" t="s">
        <v>104</v>
      </c>
      <c r="E65" s="16">
        <v>638869.13</v>
      </c>
      <c r="F65" s="6">
        <v>2079070000</v>
      </c>
      <c r="G65" s="2" t="s">
        <v>161</v>
      </c>
    </row>
    <row r="66" spans="2:7" x14ac:dyDescent="0.2">
      <c r="B66" s="6" t="s">
        <v>86</v>
      </c>
      <c r="C66" s="6" t="s">
        <v>11</v>
      </c>
      <c r="D66" s="6" t="s">
        <v>48</v>
      </c>
      <c r="E66" s="16">
        <v>0</v>
      </c>
      <c r="F66" s="6">
        <v>2079080000</v>
      </c>
      <c r="G66" s="2" t="s">
        <v>204</v>
      </c>
    </row>
    <row r="67" spans="2:7" x14ac:dyDescent="0.2">
      <c r="B67" s="6" t="s">
        <v>86</v>
      </c>
      <c r="C67" s="6">
        <v>1007</v>
      </c>
      <c r="D67" s="6" t="s">
        <v>38</v>
      </c>
      <c r="E67" s="16">
        <v>0</v>
      </c>
      <c r="F67" s="6">
        <v>2079080000</v>
      </c>
      <c r="G67" s="2" t="s">
        <v>163</v>
      </c>
    </row>
    <row r="68" spans="2:7" x14ac:dyDescent="0.2">
      <c r="B68" s="6" t="s">
        <v>86</v>
      </c>
      <c r="C68" s="6">
        <v>1008</v>
      </c>
      <c r="D68" s="6" t="s">
        <v>40</v>
      </c>
      <c r="E68" s="16">
        <v>0</v>
      </c>
      <c r="F68" s="6">
        <v>2079080000</v>
      </c>
      <c r="G68" s="2" t="s">
        <v>164</v>
      </c>
    </row>
    <row r="69" spans="2:7" x14ac:dyDescent="0.2">
      <c r="B69" s="6" t="s">
        <v>87</v>
      </c>
      <c r="C69" s="6" t="s">
        <v>11</v>
      </c>
      <c r="D69" s="6" t="s">
        <v>48</v>
      </c>
      <c r="E69" s="16">
        <v>0</v>
      </c>
      <c r="F69" s="6">
        <v>2082280000</v>
      </c>
      <c r="G69" s="2" t="s">
        <v>205</v>
      </c>
    </row>
    <row r="70" spans="2:7" x14ac:dyDescent="0.2">
      <c r="B70" s="6" t="s">
        <v>87</v>
      </c>
      <c r="C70" s="6">
        <v>1009</v>
      </c>
      <c r="D70" s="6" t="s">
        <v>36</v>
      </c>
      <c r="E70" s="16">
        <v>0</v>
      </c>
      <c r="F70" s="6">
        <v>2082280000</v>
      </c>
      <c r="G70" s="2" t="s">
        <v>165</v>
      </c>
    </row>
    <row r="71" spans="2:7" x14ac:dyDescent="0.2">
      <c r="B71" s="6" t="s">
        <v>87</v>
      </c>
      <c r="C71" s="6">
        <v>1007</v>
      </c>
      <c r="D71" s="6" t="s">
        <v>38</v>
      </c>
      <c r="E71" s="16">
        <v>0</v>
      </c>
      <c r="F71" s="6">
        <v>2082280000</v>
      </c>
      <c r="G71" s="2" t="s">
        <v>166</v>
      </c>
    </row>
    <row r="72" spans="2:7" x14ac:dyDescent="0.2">
      <c r="B72" s="6" t="s">
        <v>87</v>
      </c>
      <c r="C72" s="6">
        <v>1008</v>
      </c>
      <c r="D72" s="6" t="s">
        <v>40</v>
      </c>
      <c r="E72" s="16">
        <v>0</v>
      </c>
      <c r="F72" s="6">
        <v>2082280000</v>
      </c>
      <c r="G72" s="2" t="s">
        <v>167</v>
      </c>
    </row>
    <row r="73" spans="2:7" x14ac:dyDescent="0.2">
      <c r="B73" s="6" t="s">
        <v>87</v>
      </c>
      <c r="C73" s="6">
        <v>1240</v>
      </c>
      <c r="D73" s="6" t="s">
        <v>45</v>
      </c>
      <c r="E73" s="16">
        <v>-34224.959999999999</v>
      </c>
      <c r="F73" s="6">
        <v>2082280000</v>
      </c>
      <c r="G73" s="2" t="s">
        <v>168</v>
      </c>
    </row>
    <row r="74" spans="2:7" x14ac:dyDescent="0.2">
      <c r="B74" s="6" t="s">
        <v>87</v>
      </c>
      <c r="C74" s="6">
        <v>1006</v>
      </c>
      <c r="D74" s="6" t="s">
        <v>55</v>
      </c>
      <c r="E74" s="16">
        <v>-6778.415</v>
      </c>
      <c r="F74" s="6">
        <v>2082280000</v>
      </c>
      <c r="G74" s="2" t="s">
        <v>206</v>
      </c>
    </row>
    <row r="75" spans="2:7" x14ac:dyDescent="0.2">
      <c r="B75" s="6" t="s">
        <v>87</v>
      </c>
      <c r="C75" s="6">
        <v>1007</v>
      </c>
      <c r="D75" s="6" t="s">
        <v>39</v>
      </c>
      <c r="E75" s="16">
        <v>0</v>
      </c>
      <c r="F75" s="6">
        <v>2082280000</v>
      </c>
      <c r="G75" s="2" t="s">
        <v>166</v>
      </c>
    </row>
    <row r="76" spans="2:7" x14ac:dyDescent="0.2">
      <c r="B76" s="6" t="s">
        <v>87</v>
      </c>
      <c r="C76" s="6">
        <v>111111</v>
      </c>
      <c r="D76" s="6" t="s">
        <v>104</v>
      </c>
      <c r="E76" s="16">
        <v>-2204.7199999999998</v>
      </c>
      <c r="F76" s="6">
        <v>2082280000</v>
      </c>
      <c r="G76" s="2" t="s">
        <v>169</v>
      </c>
    </row>
    <row r="77" spans="2:7" x14ac:dyDescent="0.2">
      <c r="B77" s="6" t="s">
        <v>88</v>
      </c>
      <c r="C77" s="6">
        <v>111101</v>
      </c>
      <c r="D77" s="6" t="s">
        <v>1</v>
      </c>
      <c r="E77" s="16">
        <v>80617.179999999993</v>
      </c>
      <c r="F77" s="6">
        <v>2082208200</v>
      </c>
      <c r="G77" s="2" t="s">
        <v>171</v>
      </c>
    </row>
    <row r="78" spans="2:7" x14ac:dyDescent="0.2">
      <c r="B78" s="6" t="s">
        <v>89</v>
      </c>
      <c r="C78" s="6">
        <v>88</v>
      </c>
      <c r="D78" s="6" t="s">
        <v>33</v>
      </c>
      <c r="E78" s="16">
        <v>2752704.22</v>
      </c>
      <c r="F78" s="6">
        <v>2082214000</v>
      </c>
      <c r="G78" s="2" t="s">
        <v>172</v>
      </c>
    </row>
    <row r="79" spans="2:7" x14ac:dyDescent="0.2">
      <c r="B79" s="6" t="s">
        <v>89</v>
      </c>
      <c r="C79" s="6">
        <v>1007</v>
      </c>
      <c r="D79" s="6" t="s">
        <v>39</v>
      </c>
      <c r="E79" s="16">
        <v>0</v>
      </c>
      <c r="F79" s="6">
        <v>2082214000</v>
      </c>
      <c r="G79" s="2" t="s">
        <v>207</v>
      </c>
    </row>
    <row r="80" spans="2:7" x14ac:dyDescent="0.2">
      <c r="B80" s="6" t="s">
        <v>89</v>
      </c>
      <c r="C80" s="6">
        <v>111111</v>
      </c>
      <c r="D80" s="6" t="s">
        <v>104</v>
      </c>
      <c r="E80" s="16">
        <v>1250.7950000000001</v>
      </c>
      <c r="F80" s="6">
        <v>2082214000</v>
      </c>
      <c r="G80" s="2" t="s">
        <v>208</v>
      </c>
    </row>
    <row r="81" spans="2:7" x14ac:dyDescent="0.2">
      <c r="B81" s="6" t="s">
        <v>107</v>
      </c>
      <c r="C81" s="6">
        <v>1240</v>
      </c>
      <c r="D81" s="6" t="s">
        <v>45</v>
      </c>
      <c r="E81" s="16">
        <v>4130000</v>
      </c>
      <c r="F81" s="6">
        <v>2082110000</v>
      </c>
      <c r="G81" s="2" t="s">
        <v>209</v>
      </c>
    </row>
    <row r="82" spans="2:7" x14ac:dyDescent="0.2">
      <c r="B82" s="6" t="s">
        <v>90</v>
      </c>
      <c r="C82" s="6">
        <v>111101</v>
      </c>
      <c r="D82" s="6" t="s">
        <v>1</v>
      </c>
      <c r="E82" s="16">
        <v>496748.70000000007</v>
      </c>
      <c r="F82" s="6">
        <v>2091200000</v>
      </c>
      <c r="G82" s="2" t="s">
        <v>173</v>
      </c>
    </row>
    <row r="83" spans="2:7" x14ac:dyDescent="0.2">
      <c r="B83" s="6" t="s">
        <v>91</v>
      </c>
      <c r="C83" s="6">
        <v>111101</v>
      </c>
      <c r="D83" s="6" t="s">
        <v>1</v>
      </c>
      <c r="E83" s="16">
        <v>480872.96000000002</v>
      </c>
      <c r="F83" s="6">
        <v>2091200001</v>
      </c>
      <c r="G83" s="2" t="s">
        <v>174</v>
      </c>
    </row>
    <row r="84" spans="2:7" x14ac:dyDescent="0.2">
      <c r="B84" s="6" t="s">
        <v>24</v>
      </c>
      <c r="C84" s="6">
        <v>111101</v>
      </c>
      <c r="D84" s="6" t="s">
        <v>1</v>
      </c>
      <c r="E84" s="16">
        <v>0</v>
      </c>
      <c r="F84" s="6">
        <v>2091900000</v>
      </c>
      <c r="G84" s="2" t="s">
        <v>210</v>
      </c>
    </row>
    <row r="85" spans="2:7" x14ac:dyDescent="0.2">
      <c r="B85" s="6" t="s">
        <v>92</v>
      </c>
      <c r="C85" s="6">
        <v>111101</v>
      </c>
      <c r="D85" s="6" t="s">
        <v>1</v>
      </c>
      <c r="E85" s="16">
        <v>6570.3050000000003</v>
      </c>
      <c r="F85" s="6">
        <v>2092200000</v>
      </c>
      <c r="G85" s="2" t="s">
        <v>175</v>
      </c>
    </row>
    <row r="86" spans="2:7" x14ac:dyDescent="0.2">
      <c r="B86" s="18" t="s">
        <v>65</v>
      </c>
      <c r="C86" s="18">
        <v>111101</v>
      </c>
      <c r="D86" s="18" t="s">
        <v>1</v>
      </c>
      <c r="E86" s="19">
        <v>6073808.1600000001</v>
      </c>
      <c r="F86" s="18">
        <v>2111111999</v>
      </c>
      <c r="G86" s="2" t="s">
        <v>211</v>
      </c>
    </row>
    <row r="87" spans="2:7" x14ac:dyDescent="0.2">
      <c r="C87" s="6"/>
    </row>
    <row r="88" spans="2:7" x14ac:dyDescent="0.2">
      <c r="C88" s="6"/>
    </row>
    <row r="89" spans="2:7" x14ac:dyDescent="0.2">
      <c r="C89" s="6"/>
    </row>
    <row r="90" spans="2:7" x14ac:dyDescent="0.2">
      <c r="C90" s="6"/>
    </row>
    <row r="91" spans="2:7" x14ac:dyDescent="0.2">
      <c r="C91" s="6"/>
    </row>
    <row r="92" spans="2:7" x14ac:dyDescent="0.2">
      <c r="C92" s="6"/>
    </row>
    <row r="93" spans="2:7" x14ac:dyDescent="0.2">
      <c r="C93" s="6"/>
    </row>
    <row r="94" spans="2:7" x14ac:dyDescent="0.2">
      <c r="C94" s="6"/>
    </row>
    <row r="95" spans="2:7" x14ac:dyDescent="0.2">
      <c r="C95" s="6"/>
    </row>
    <row r="96" spans="2:7" x14ac:dyDescent="0.2">
      <c r="C96" s="6"/>
    </row>
    <row r="97" spans="3:3" x14ac:dyDescent="0.2">
      <c r="C97" s="6"/>
    </row>
    <row r="98" spans="3:3" x14ac:dyDescent="0.2">
      <c r="C98" s="6"/>
    </row>
    <row r="99" spans="3:3" x14ac:dyDescent="0.2">
      <c r="C99" s="6"/>
    </row>
    <row r="100" spans="3:3" x14ac:dyDescent="0.2">
      <c r="C100" s="6"/>
    </row>
    <row r="101" spans="3:3" x14ac:dyDescent="0.2">
      <c r="C101" s="6"/>
    </row>
    <row r="102" spans="3:3" x14ac:dyDescent="0.2">
      <c r="C102" s="6"/>
    </row>
    <row r="103" spans="3:3" x14ac:dyDescent="0.2">
      <c r="C103" s="6"/>
    </row>
    <row r="104" spans="3:3" x14ac:dyDescent="0.2">
      <c r="C104" s="6"/>
    </row>
    <row r="105" spans="3:3" x14ac:dyDescent="0.2">
      <c r="C105" s="6"/>
    </row>
    <row r="106" spans="3:3" x14ac:dyDescent="0.2">
      <c r="C106" s="6"/>
    </row>
    <row r="107" spans="3:3" x14ac:dyDescent="0.2">
      <c r="C107" s="6"/>
    </row>
    <row r="108" spans="3:3" x14ac:dyDescent="0.2">
      <c r="C108" s="6"/>
    </row>
    <row r="109" spans="3:3" x14ac:dyDescent="0.2">
      <c r="C109" s="6"/>
    </row>
    <row r="110" spans="3:3" x14ac:dyDescent="0.2">
      <c r="C110" s="6"/>
    </row>
    <row r="111" spans="3:3" x14ac:dyDescent="0.2">
      <c r="C111" s="6"/>
    </row>
    <row r="112" spans="3:3" x14ac:dyDescent="0.2">
      <c r="C112" s="6"/>
    </row>
    <row r="113" spans="3:3" x14ac:dyDescent="0.2">
      <c r="C113" s="6"/>
    </row>
    <row r="114" spans="3:3" x14ac:dyDescent="0.2">
      <c r="C114" s="6"/>
    </row>
    <row r="115" spans="3:3" x14ac:dyDescent="0.2">
      <c r="C115" s="6"/>
    </row>
    <row r="116" spans="3:3" x14ac:dyDescent="0.2">
      <c r="C116" s="6"/>
    </row>
    <row r="117" spans="3:3" x14ac:dyDescent="0.2">
      <c r="C117" s="6"/>
    </row>
    <row r="118" spans="3:3" x14ac:dyDescent="0.2">
      <c r="C118" s="6"/>
    </row>
    <row r="119" spans="3:3" x14ac:dyDescent="0.2">
      <c r="C119" s="6"/>
    </row>
    <row r="120" spans="3:3" x14ac:dyDescent="0.2">
      <c r="C120" s="6"/>
    </row>
    <row r="121" spans="3:3" x14ac:dyDescent="0.2">
      <c r="C121" s="6"/>
    </row>
    <row r="122" spans="3:3" x14ac:dyDescent="0.2">
      <c r="C122" s="6"/>
    </row>
    <row r="123" spans="3:3" x14ac:dyDescent="0.2">
      <c r="C123" s="6"/>
    </row>
    <row r="124" spans="3:3" x14ac:dyDescent="0.2">
      <c r="C124" s="6"/>
    </row>
    <row r="125" spans="3:3" x14ac:dyDescent="0.2">
      <c r="C125" s="6"/>
    </row>
    <row r="126" spans="3:3" x14ac:dyDescent="0.2">
      <c r="C126" s="6"/>
    </row>
    <row r="127" spans="3:3" x14ac:dyDescent="0.2">
      <c r="C127" s="6"/>
    </row>
    <row r="128" spans="3:3" x14ac:dyDescent="0.2">
      <c r="C128" s="6"/>
    </row>
    <row r="129" spans="3:3" x14ac:dyDescent="0.2">
      <c r="C129" s="6"/>
    </row>
  </sheetData>
  <autoFilter ref="B4:F8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17"/>
  <sheetViews>
    <sheetView topLeftCell="A45" workbookViewId="0">
      <selection activeCell="I15" sqref="I15"/>
    </sheetView>
  </sheetViews>
  <sheetFormatPr defaultColWidth="9.109375" defaultRowHeight="11.4" x14ac:dyDescent="0.2"/>
  <cols>
    <col min="1" max="1" width="2" style="2" customWidth="1"/>
    <col min="2" max="2" width="29.5546875" style="2" customWidth="1"/>
    <col min="3" max="3" width="22.109375" style="2" customWidth="1"/>
    <col min="4" max="4" width="30.88671875" style="2" bestFit="1" customWidth="1"/>
    <col min="5" max="5" width="11.5546875" style="2" bestFit="1" customWidth="1"/>
    <col min="6" max="6" width="12" style="2" bestFit="1" customWidth="1"/>
    <col min="7" max="7" width="15.109375" style="2" bestFit="1" customWidth="1"/>
    <col min="8" max="16384" width="9.109375" style="2"/>
  </cols>
  <sheetData>
    <row r="1" spans="2:7" ht="15.6" x14ac:dyDescent="0.3">
      <c r="B1" s="3" t="s">
        <v>115</v>
      </c>
    </row>
    <row r="4" spans="2:7" x14ac:dyDescent="0.2">
      <c r="B4" s="2" t="s">
        <v>116</v>
      </c>
      <c r="C4" s="2" t="s">
        <v>0</v>
      </c>
      <c r="D4" s="2" t="s">
        <v>117</v>
      </c>
      <c r="E4" s="2" t="s">
        <v>102</v>
      </c>
      <c r="F4" s="2" t="s">
        <v>118</v>
      </c>
      <c r="G4" s="2" t="s">
        <v>177</v>
      </c>
    </row>
    <row r="5" spans="2:7" x14ac:dyDescent="0.2">
      <c r="B5" s="6" t="s">
        <v>66</v>
      </c>
      <c r="C5" s="6">
        <v>105</v>
      </c>
      <c r="D5" s="6" t="s">
        <v>34</v>
      </c>
      <c r="E5" s="21">
        <v>-616462.01899999997</v>
      </c>
      <c r="F5" s="6">
        <v>2001110000</v>
      </c>
      <c r="G5" s="2" t="s">
        <v>178</v>
      </c>
    </row>
    <row r="6" spans="2:7" x14ac:dyDescent="0.2">
      <c r="B6" s="2" t="s">
        <v>66</v>
      </c>
      <c r="C6" s="6">
        <v>111111</v>
      </c>
      <c r="D6" s="2" t="s">
        <v>104</v>
      </c>
      <c r="E6" s="22">
        <v>-14431341</v>
      </c>
      <c r="F6" s="17">
        <v>2001110000</v>
      </c>
      <c r="G6" s="2" t="s">
        <v>121</v>
      </c>
    </row>
    <row r="7" spans="2:7" x14ac:dyDescent="0.2">
      <c r="B7" s="6" t="s">
        <v>67</v>
      </c>
      <c r="C7" s="6">
        <v>111111</v>
      </c>
      <c r="D7" s="6" t="s">
        <v>104</v>
      </c>
      <c r="E7" s="16">
        <v>-6373617.5140000004</v>
      </c>
      <c r="F7" s="6">
        <v>2001190000</v>
      </c>
      <c r="G7" s="2" t="s">
        <v>122</v>
      </c>
    </row>
    <row r="8" spans="2:7" x14ac:dyDescent="0.2">
      <c r="B8" s="6" t="s">
        <v>108</v>
      </c>
      <c r="C8" s="6">
        <v>111111</v>
      </c>
      <c r="D8" s="6" t="s">
        <v>104</v>
      </c>
      <c r="E8" s="16">
        <v>20504.509999999998</v>
      </c>
      <c r="F8" s="6">
        <v>2021210000</v>
      </c>
      <c r="G8" s="2" t="s">
        <v>180</v>
      </c>
    </row>
    <row r="9" spans="2:7" x14ac:dyDescent="0.2">
      <c r="B9" s="6" t="s">
        <v>105</v>
      </c>
      <c r="C9" s="6">
        <v>111111</v>
      </c>
      <c r="D9" s="6" t="s">
        <v>104</v>
      </c>
      <c r="E9" s="16">
        <v>5674152.0669999998</v>
      </c>
      <c r="F9" s="6">
        <v>2021900000</v>
      </c>
      <c r="G9" s="2" t="s">
        <v>126</v>
      </c>
    </row>
    <row r="10" spans="2:7" x14ac:dyDescent="0.2">
      <c r="B10" s="6" t="s">
        <v>25</v>
      </c>
      <c r="C10" s="6">
        <v>111111</v>
      </c>
      <c r="D10" s="6" t="s">
        <v>104</v>
      </c>
      <c r="E10" s="16">
        <v>13691.949999999999</v>
      </c>
      <c r="F10" s="6">
        <v>2024020000</v>
      </c>
      <c r="G10" s="2" t="s">
        <v>212</v>
      </c>
    </row>
    <row r="11" spans="2:7" x14ac:dyDescent="0.2">
      <c r="B11" s="6" t="s">
        <v>70</v>
      </c>
      <c r="C11" s="6">
        <v>111111</v>
      </c>
      <c r="D11" s="6" t="s">
        <v>104</v>
      </c>
      <c r="E11" s="16">
        <v>350370.99399999995</v>
      </c>
      <c r="F11" s="6">
        <v>2024080000</v>
      </c>
      <c r="G11" s="2" t="s">
        <v>127</v>
      </c>
    </row>
    <row r="12" spans="2:7" x14ac:dyDescent="0.2">
      <c r="B12" s="6" t="s">
        <v>69</v>
      </c>
      <c r="C12" s="6">
        <v>88</v>
      </c>
      <c r="D12" s="6" t="s">
        <v>33</v>
      </c>
      <c r="E12" s="16">
        <v>3116017.1540000001</v>
      </c>
      <c r="F12" s="6">
        <v>2024090000</v>
      </c>
      <c r="G12" s="2" t="s">
        <v>128</v>
      </c>
    </row>
    <row r="13" spans="2:7" x14ac:dyDescent="0.2">
      <c r="B13" s="6" t="s">
        <v>69</v>
      </c>
      <c r="C13" s="6" t="s">
        <v>12</v>
      </c>
      <c r="D13" s="6" t="s">
        <v>35</v>
      </c>
      <c r="E13" s="16">
        <v>0</v>
      </c>
      <c r="F13" s="6">
        <v>2024090000</v>
      </c>
      <c r="G13" s="2" t="s">
        <v>182</v>
      </c>
    </row>
    <row r="14" spans="2:7" x14ac:dyDescent="0.2">
      <c r="B14" s="6" t="s">
        <v>69</v>
      </c>
      <c r="C14" s="6" t="s">
        <v>13</v>
      </c>
      <c r="D14" s="6" t="s">
        <v>37</v>
      </c>
      <c r="E14" s="16">
        <v>673.34299999999985</v>
      </c>
      <c r="F14" s="6">
        <v>2024090000</v>
      </c>
      <c r="G14" s="2" t="s">
        <v>183</v>
      </c>
    </row>
    <row r="15" spans="2:7" x14ac:dyDescent="0.2">
      <c r="B15" s="6" t="s">
        <v>69</v>
      </c>
      <c r="C15" s="6" t="s">
        <v>26</v>
      </c>
      <c r="D15" s="6" t="s">
        <v>49</v>
      </c>
      <c r="E15" s="16">
        <v>192017.14499999996</v>
      </c>
      <c r="F15" s="6">
        <v>2024090000</v>
      </c>
      <c r="G15" s="2" t="s">
        <v>213</v>
      </c>
    </row>
    <row r="16" spans="2:7" x14ac:dyDescent="0.2">
      <c r="B16" s="6" t="s">
        <v>69</v>
      </c>
      <c r="C16" s="6" t="s">
        <v>7</v>
      </c>
      <c r="D16" s="6" t="s">
        <v>44</v>
      </c>
      <c r="E16" s="16">
        <v>375290.46599999996</v>
      </c>
      <c r="F16" s="6">
        <v>2024090000</v>
      </c>
      <c r="G16" s="2" t="s">
        <v>214</v>
      </c>
    </row>
    <row r="17" spans="2:7" x14ac:dyDescent="0.2">
      <c r="B17" s="6" t="s">
        <v>69</v>
      </c>
      <c r="C17" s="6">
        <v>17000</v>
      </c>
      <c r="D17" s="6" t="s">
        <v>51</v>
      </c>
      <c r="E17" s="16">
        <v>4920</v>
      </c>
      <c r="F17" s="6">
        <v>2024090000</v>
      </c>
      <c r="G17" s="2" t="s">
        <v>215</v>
      </c>
    </row>
    <row r="18" spans="2:7" x14ac:dyDescent="0.2">
      <c r="B18" s="6" t="s">
        <v>69</v>
      </c>
      <c r="C18" s="6">
        <v>111111</v>
      </c>
      <c r="D18" s="6" t="s">
        <v>104</v>
      </c>
      <c r="E18" s="16">
        <v>9783.7069999999985</v>
      </c>
      <c r="F18" s="6">
        <v>2024090000</v>
      </c>
      <c r="G18" s="2" t="s">
        <v>129</v>
      </c>
    </row>
    <row r="19" spans="2:7" x14ac:dyDescent="0.2">
      <c r="B19" s="6" t="s">
        <v>2</v>
      </c>
      <c r="C19" s="6">
        <v>111111</v>
      </c>
      <c r="D19" s="6" t="s">
        <v>104</v>
      </c>
      <c r="E19" s="16">
        <v>3982699.5329999998</v>
      </c>
      <c r="F19" s="6">
        <v>2041000000</v>
      </c>
      <c r="G19" s="2" t="s">
        <v>130</v>
      </c>
    </row>
    <row r="20" spans="2:7" x14ac:dyDescent="0.2">
      <c r="B20" s="6" t="s">
        <v>3</v>
      </c>
      <c r="C20" s="6">
        <v>111101</v>
      </c>
      <c r="D20" s="6" t="s">
        <v>1</v>
      </c>
      <c r="E20" s="16">
        <v>1420796.8209999998</v>
      </c>
      <c r="F20" s="6">
        <v>2042000000</v>
      </c>
      <c r="G20" s="2" t="s">
        <v>131</v>
      </c>
    </row>
    <row r="21" spans="2:7" x14ac:dyDescent="0.2">
      <c r="B21" s="6" t="s">
        <v>71</v>
      </c>
      <c r="C21" s="6">
        <v>111101</v>
      </c>
      <c r="D21" s="6" t="s">
        <v>1</v>
      </c>
      <c r="E21" s="16">
        <v>288891.82199999999</v>
      </c>
      <c r="F21" s="6">
        <v>2042000000</v>
      </c>
      <c r="G21" s="2" t="s">
        <v>131</v>
      </c>
    </row>
    <row r="22" spans="2:7" x14ac:dyDescent="0.2">
      <c r="B22" s="6" t="s">
        <v>72</v>
      </c>
      <c r="C22" s="6">
        <v>111101</v>
      </c>
      <c r="D22" s="6" t="s">
        <v>1</v>
      </c>
      <c r="E22" s="16">
        <v>143500</v>
      </c>
      <c r="F22" s="6">
        <v>2045000000</v>
      </c>
      <c r="G22" s="2" t="s">
        <v>133</v>
      </c>
    </row>
    <row r="23" spans="2:7" x14ac:dyDescent="0.2">
      <c r="B23" s="6" t="s">
        <v>73</v>
      </c>
      <c r="C23" s="6">
        <v>111101</v>
      </c>
      <c r="D23" s="6" t="s">
        <v>1</v>
      </c>
      <c r="E23" s="16">
        <v>1875768.159</v>
      </c>
      <c r="F23" s="6">
        <v>2051210000</v>
      </c>
      <c r="G23" s="2" t="s">
        <v>134</v>
      </c>
    </row>
    <row r="24" spans="2:7" x14ac:dyDescent="0.2">
      <c r="B24" s="6" t="s">
        <v>73</v>
      </c>
      <c r="C24" s="6">
        <v>111101</v>
      </c>
      <c r="D24" s="6" t="s">
        <v>1</v>
      </c>
      <c r="E24" s="16">
        <v>12593.355</v>
      </c>
      <c r="F24" s="6">
        <v>2051260000</v>
      </c>
      <c r="G24" s="2" t="s">
        <v>186</v>
      </c>
    </row>
    <row r="25" spans="2:7" x14ac:dyDescent="0.2">
      <c r="B25" s="6" t="s">
        <v>22</v>
      </c>
      <c r="C25" s="6" t="s">
        <v>20</v>
      </c>
      <c r="D25" s="6" t="s">
        <v>56</v>
      </c>
      <c r="E25" s="16">
        <v>0</v>
      </c>
      <c r="F25" s="6">
        <v>2060441000</v>
      </c>
      <c r="G25" s="2" t="s">
        <v>216</v>
      </c>
    </row>
    <row r="26" spans="2:7" x14ac:dyDescent="0.2">
      <c r="B26" s="6" t="s">
        <v>22</v>
      </c>
      <c r="C26" s="6">
        <v>111111</v>
      </c>
      <c r="D26" s="6" t="s">
        <v>104</v>
      </c>
      <c r="E26" s="16">
        <v>-1252.8369999999998</v>
      </c>
      <c r="F26" s="6">
        <v>2060441000</v>
      </c>
      <c r="G26" s="2" t="s">
        <v>217</v>
      </c>
    </row>
    <row r="27" spans="2:7" x14ac:dyDescent="0.2">
      <c r="B27" s="6" t="s">
        <v>74</v>
      </c>
      <c r="C27" s="6" t="s">
        <v>4</v>
      </c>
      <c r="D27" s="6" t="s">
        <v>41</v>
      </c>
      <c r="E27" s="16">
        <v>-1418521.358</v>
      </c>
      <c r="F27" s="6">
        <v>2069010000</v>
      </c>
      <c r="G27" s="2" t="s">
        <v>136</v>
      </c>
    </row>
    <row r="28" spans="2:7" x14ac:dyDescent="0.2">
      <c r="B28" s="6" t="s">
        <v>74</v>
      </c>
      <c r="C28" s="6">
        <v>19</v>
      </c>
      <c r="D28" s="6" t="s">
        <v>42</v>
      </c>
      <c r="E28" s="16">
        <v>-622966.38600000006</v>
      </c>
      <c r="F28" s="6">
        <v>2069010000</v>
      </c>
      <c r="G28" s="2" t="s">
        <v>188</v>
      </c>
    </row>
    <row r="29" spans="2:7" x14ac:dyDescent="0.2">
      <c r="B29" s="6" t="s">
        <v>74</v>
      </c>
      <c r="C29" s="6" t="s">
        <v>17</v>
      </c>
      <c r="D29" s="6" t="s">
        <v>52</v>
      </c>
      <c r="E29" s="16">
        <v>0</v>
      </c>
      <c r="F29" s="6">
        <v>2069010000</v>
      </c>
      <c r="G29" s="2" t="s">
        <v>189</v>
      </c>
    </row>
    <row r="30" spans="2:7" x14ac:dyDescent="0.2">
      <c r="B30" s="6" t="s">
        <v>74</v>
      </c>
      <c r="C30" s="6" t="s">
        <v>11</v>
      </c>
      <c r="D30" s="6" t="s">
        <v>48</v>
      </c>
      <c r="E30" s="16">
        <v>0</v>
      </c>
      <c r="F30" s="6">
        <v>2069010000</v>
      </c>
      <c r="G30" s="2" t="s">
        <v>190</v>
      </c>
    </row>
    <row r="31" spans="2:7" x14ac:dyDescent="0.2">
      <c r="B31" s="6" t="s">
        <v>74</v>
      </c>
      <c r="C31" s="6">
        <v>1009</v>
      </c>
      <c r="D31" s="6" t="s">
        <v>36</v>
      </c>
      <c r="E31" s="16">
        <v>0</v>
      </c>
      <c r="F31" s="6">
        <v>2069010000</v>
      </c>
      <c r="G31" s="2" t="s">
        <v>140</v>
      </c>
    </row>
    <row r="32" spans="2:7" x14ac:dyDescent="0.2">
      <c r="B32" s="6" t="s">
        <v>74</v>
      </c>
      <c r="C32" s="6">
        <v>1007</v>
      </c>
      <c r="D32" s="6" t="s">
        <v>38</v>
      </c>
      <c r="E32" s="16">
        <v>0</v>
      </c>
      <c r="F32" s="6">
        <v>2069010000</v>
      </c>
      <c r="G32" s="2" t="s">
        <v>141</v>
      </c>
    </row>
    <row r="33" spans="2:7" x14ac:dyDescent="0.2">
      <c r="B33" s="6" t="s">
        <v>74</v>
      </c>
      <c r="C33" s="6">
        <v>1008</v>
      </c>
      <c r="D33" s="6" t="s">
        <v>40</v>
      </c>
      <c r="E33" s="16">
        <v>0</v>
      </c>
      <c r="F33" s="6">
        <v>2069010000</v>
      </c>
      <c r="G33" s="2" t="s">
        <v>142</v>
      </c>
    </row>
    <row r="34" spans="2:7" x14ac:dyDescent="0.2">
      <c r="B34" s="6" t="s">
        <v>74</v>
      </c>
      <c r="C34" s="6">
        <v>1240</v>
      </c>
      <c r="D34" s="6" t="s">
        <v>45</v>
      </c>
      <c r="E34" s="16">
        <v>0</v>
      </c>
      <c r="F34" s="6">
        <v>2069010000</v>
      </c>
      <c r="G34" s="2" t="s">
        <v>143</v>
      </c>
    </row>
    <row r="35" spans="2:7" x14ac:dyDescent="0.2">
      <c r="B35" s="6" t="s">
        <v>74</v>
      </c>
      <c r="C35" s="6">
        <v>1006</v>
      </c>
      <c r="D35" s="6" t="s">
        <v>55</v>
      </c>
      <c r="E35" s="16">
        <v>0</v>
      </c>
      <c r="F35" s="6">
        <v>2069010000</v>
      </c>
      <c r="G35" s="2" t="s">
        <v>218</v>
      </c>
    </row>
    <row r="36" spans="2:7" x14ac:dyDescent="0.2">
      <c r="B36" s="6" t="s">
        <v>74</v>
      </c>
      <c r="C36" s="6">
        <v>1007</v>
      </c>
      <c r="D36" s="6" t="s">
        <v>39</v>
      </c>
      <c r="E36" s="16">
        <v>0</v>
      </c>
      <c r="F36" s="6">
        <v>2069010000</v>
      </c>
      <c r="G36" s="2" t="s">
        <v>141</v>
      </c>
    </row>
    <row r="37" spans="2:7" x14ac:dyDescent="0.2">
      <c r="B37" s="6" t="s">
        <v>74</v>
      </c>
      <c r="C37" s="6" t="s">
        <v>18</v>
      </c>
      <c r="D37" s="6" t="s">
        <v>53</v>
      </c>
      <c r="E37" s="16">
        <v>-1948832.1429999999</v>
      </c>
      <c r="F37" s="6">
        <v>2069010000</v>
      </c>
      <c r="G37" s="2" t="s">
        <v>191</v>
      </c>
    </row>
    <row r="38" spans="2:7" x14ac:dyDescent="0.2">
      <c r="B38" s="6" t="s">
        <v>74</v>
      </c>
      <c r="C38" s="6">
        <v>111111</v>
      </c>
      <c r="D38" s="6" t="s">
        <v>104</v>
      </c>
      <c r="E38" s="16">
        <v>-902857.84299999999</v>
      </c>
      <c r="F38" s="6">
        <v>2069010000</v>
      </c>
      <c r="G38" s="2" t="s">
        <v>144</v>
      </c>
    </row>
    <row r="39" spans="2:7" x14ac:dyDescent="0.2">
      <c r="B39" s="6" t="s">
        <v>27</v>
      </c>
      <c r="C39" s="6">
        <v>111111</v>
      </c>
      <c r="D39" s="6" t="s">
        <v>104</v>
      </c>
      <c r="E39" s="16">
        <v>-61499.999999999993</v>
      </c>
      <c r="F39" s="6">
        <v>2069020000</v>
      </c>
      <c r="G39" s="2" t="s">
        <v>219</v>
      </c>
    </row>
    <row r="40" spans="2:7" x14ac:dyDescent="0.2">
      <c r="B40" s="6" t="s">
        <v>75</v>
      </c>
      <c r="C40" s="6">
        <v>105</v>
      </c>
      <c r="D40" s="6" t="s">
        <v>34</v>
      </c>
      <c r="E40" s="16">
        <v>-30913.425999999996</v>
      </c>
      <c r="F40" s="6">
        <v>2069980000</v>
      </c>
      <c r="G40" s="2" t="s">
        <v>220</v>
      </c>
    </row>
    <row r="41" spans="2:7" x14ac:dyDescent="0.2">
      <c r="B41" s="6" t="s">
        <v>75</v>
      </c>
      <c r="C41" s="6">
        <v>111111</v>
      </c>
      <c r="D41" s="6" t="s">
        <v>104</v>
      </c>
      <c r="E41" s="16">
        <v>-15872.001999999999</v>
      </c>
      <c r="F41" s="6">
        <v>2069980000</v>
      </c>
      <c r="G41" s="2" t="s">
        <v>145</v>
      </c>
    </row>
    <row r="42" spans="2:7" x14ac:dyDescent="0.2">
      <c r="B42" s="6" t="s">
        <v>76</v>
      </c>
      <c r="C42" s="6">
        <v>111111</v>
      </c>
      <c r="D42" s="6" t="s">
        <v>104</v>
      </c>
      <c r="E42" s="16">
        <v>57.317999999999998</v>
      </c>
      <c r="F42" s="6">
        <v>2070400000</v>
      </c>
      <c r="G42" s="2" t="s">
        <v>146</v>
      </c>
    </row>
    <row r="43" spans="2:7" x14ac:dyDescent="0.2">
      <c r="B43" s="6" t="s">
        <v>77</v>
      </c>
      <c r="C43" s="6">
        <v>111111</v>
      </c>
      <c r="D43" s="6" t="s">
        <v>104</v>
      </c>
      <c r="E43" s="16">
        <v>19198.66</v>
      </c>
      <c r="F43" s="6">
        <v>2070500000</v>
      </c>
      <c r="G43" s="2" t="s">
        <v>148</v>
      </c>
    </row>
    <row r="44" spans="2:7" x14ac:dyDescent="0.2">
      <c r="B44" s="6" t="s">
        <v>78</v>
      </c>
      <c r="C44" s="6">
        <v>105</v>
      </c>
      <c r="D44" s="6" t="s">
        <v>34</v>
      </c>
      <c r="E44" s="16">
        <v>-1423120</v>
      </c>
      <c r="F44" s="6">
        <v>2070600000</v>
      </c>
      <c r="G44" s="2" t="s">
        <v>221</v>
      </c>
    </row>
    <row r="45" spans="2:7" x14ac:dyDescent="0.2">
      <c r="B45" s="6" t="s">
        <v>78</v>
      </c>
      <c r="C45" s="6">
        <v>111111</v>
      </c>
      <c r="D45" s="6" t="s">
        <v>104</v>
      </c>
      <c r="E45" s="16">
        <v>-172933.44899999999</v>
      </c>
      <c r="F45" s="6">
        <v>2070600000</v>
      </c>
      <c r="G45" s="2" t="s">
        <v>149</v>
      </c>
    </row>
    <row r="46" spans="2:7" x14ac:dyDescent="0.2">
      <c r="B46" s="6" t="s">
        <v>79</v>
      </c>
      <c r="C46" s="6">
        <v>105</v>
      </c>
      <c r="D46" s="6" t="s">
        <v>34</v>
      </c>
      <c r="E46" s="16">
        <v>473575.46100000001</v>
      </c>
      <c r="F46" s="6">
        <v>2070900000</v>
      </c>
      <c r="G46" s="2" t="s">
        <v>194</v>
      </c>
    </row>
    <row r="47" spans="2:7" x14ac:dyDescent="0.2">
      <c r="B47" s="6" t="s">
        <v>79</v>
      </c>
      <c r="C47" s="6">
        <v>111111</v>
      </c>
      <c r="D47" s="6" t="s">
        <v>104</v>
      </c>
      <c r="E47" s="16">
        <v>1481408.47</v>
      </c>
      <c r="F47" s="6">
        <v>2070900000</v>
      </c>
      <c r="G47" s="2" t="s">
        <v>152</v>
      </c>
    </row>
    <row r="48" spans="2:7" x14ac:dyDescent="0.2">
      <c r="B48" s="6" t="s">
        <v>8</v>
      </c>
      <c r="C48" s="6">
        <v>111111</v>
      </c>
      <c r="D48" s="6" t="s">
        <v>104</v>
      </c>
      <c r="E48" s="16">
        <v>40048.799999999996</v>
      </c>
      <c r="F48" s="6">
        <v>2071000000</v>
      </c>
      <c r="G48" s="2" t="s">
        <v>153</v>
      </c>
    </row>
    <row r="49" spans="2:7" x14ac:dyDescent="0.2">
      <c r="B49" s="6" t="s">
        <v>80</v>
      </c>
      <c r="C49" s="6">
        <v>88</v>
      </c>
      <c r="D49" s="6" t="s">
        <v>33</v>
      </c>
      <c r="E49" s="16">
        <v>584.66</v>
      </c>
      <c r="F49" s="6">
        <v>2071100000</v>
      </c>
      <c r="G49" s="2" t="s">
        <v>222</v>
      </c>
    </row>
    <row r="50" spans="2:7" x14ac:dyDescent="0.2">
      <c r="B50" s="6" t="s">
        <v>80</v>
      </c>
      <c r="C50" s="6">
        <v>111111</v>
      </c>
      <c r="D50" s="6" t="s">
        <v>104</v>
      </c>
      <c r="E50" s="16">
        <v>64039.82699999999</v>
      </c>
      <c r="F50" s="6">
        <v>2071100000</v>
      </c>
      <c r="G50" s="2" t="s">
        <v>154</v>
      </c>
    </row>
    <row r="51" spans="2:7" x14ac:dyDescent="0.2">
      <c r="B51" s="6" t="s">
        <v>28</v>
      </c>
      <c r="C51" s="6">
        <v>111111</v>
      </c>
      <c r="D51" s="6" t="s">
        <v>104</v>
      </c>
      <c r="E51" s="16">
        <v>1352.9999999999998</v>
      </c>
      <c r="F51" s="6">
        <v>2071209100</v>
      </c>
      <c r="G51" s="2" t="s">
        <v>223</v>
      </c>
    </row>
    <row r="52" spans="2:7" x14ac:dyDescent="0.2">
      <c r="B52" s="6" t="s">
        <v>9</v>
      </c>
      <c r="C52" s="6">
        <v>111111</v>
      </c>
      <c r="D52" s="6" t="s">
        <v>104</v>
      </c>
      <c r="E52" s="16">
        <v>2514431.8869999996</v>
      </c>
      <c r="F52" s="6">
        <v>2071209200</v>
      </c>
      <c r="G52" s="2" t="s">
        <v>155</v>
      </c>
    </row>
    <row r="53" spans="2:7" x14ac:dyDescent="0.2">
      <c r="B53" s="6" t="s">
        <v>81</v>
      </c>
      <c r="C53" s="6">
        <v>111111</v>
      </c>
      <c r="D53" s="6" t="s">
        <v>104</v>
      </c>
      <c r="E53" s="16">
        <v>4194.2999999999993</v>
      </c>
      <c r="F53" s="6">
        <v>2071209400</v>
      </c>
      <c r="G53" s="2" t="s">
        <v>156</v>
      </c>
    </row>
    <row r="54" spans="2:7" x14ac:dyDescent="0.2">
      <c r="B54" s="6" t="s">
        <v>82</v>
      </c>
      <c r="C54" s="6">
        <v>111111</v>
      </c>
      <c r="D54" s="6" t="s">
        <v>104</v>
      </c>
      <c r="E54" s="16">
        <v>106525.708</v>
      </c>
      <c r="F54" s="6">
        <v>2071209500</v>
      </c>
      <c r="G54" s="2" t="s">
        <v>157</v>
      </c>
    </row>
    <row r="55" spans="2:7" x14ac:dyDescent="0.2">
      <c r="B55" s="6" t="s">
        <v>83</v>
      </c>
      <c r="C55" s="6">
        <v>111101</v>
      </c>
      <c r="D55" s="6" t="s">
        <v>1</v>
      </c>
      <c r="E55" s="16">
        <v>109811.284</v>
      </c>
      <c r="F55" s="6">
        <v>2071980000</v>
      </c>
      <c r="G55" s="2" t="s">
        <v>158</v>
      </c>
    </row>
    <row r="56" spans="2:7" x14ac:dyDescent="0.2">
      <c r="B56" s="6" t="s">
        <v>84</v>
      </c>
      <c r="C56" s="6">
        <v>111111</v>
      </c>
      <c r="D56" s="6" t="s">
        <v>104</v>
      </c>
      <c r="E56" s="16">
        <v>61111.483999999997</v>
      </c>
      <c r="F56" s="6">
        <v>2079022000</v>
      </c>
      <c r="G56" s="2" t="s">
        <v>159</v>
      </c>
    </row>
    <row r="57" spans="2:7" x14ac:dyDescent="0.2">
      <c r="B57" s="6" t="s">
        <v>85</v>
      </c>
      <c r="C57" s="6" t="s">
        <v>13</v>
      </c>
      <c r="D57" s="6" t="s">
        <v>37</v>
      </c>
      <c r="E57" s="16">
        <v>0</v>
      </c>
      <c r="F57" s="6">
        <v>2079070000</v>
      </c>
      <c r="G57" s="2" t="s">
        <v>203</v>
      </c>
    </row>
    <row r="58" spans="2:7" x14ac:dyDescent="0.2">
      <c r="B58" s="6" t="s">
        <v>85</v>
      </c>
      <c r="C58" s="6">
        <v>105</v>
      </c>
      <c r="D58" s="6" t="s">
        <v>34</v>
      </c>
      <c r="E58" s="16">
        <v>1684415.2999999998</v>
      </c>
      <c r="F58" s="6">
        <v>2079070000</v>
      </c>
      <c r="G58" s="2" t="s">
        <v>160</v>
      </c>
    </row>
    <row r="59" spans="2:7" x14ac:dyDescent="0.2">
      <c r="B59" s="6" t="s">
        <v>85</v>
      </c>
      <c r="C59" s="6">
        <v>111111</v>
      </c>
      <c r="D59" s="6" t="s">
        <v>104</v>
      </c>
      <c r="E59" s="16">
        <v>575626.2649999999</v>
      </c>
      <c r="F59" s="6">
        <v>2079070000</v>
      </c>
      <c r="G59" s="2" t="s">
        <v>161</v>
      </c>
    </row>
    <row r="60" spans="2:7" x14ac:dyDescent="0.2">
      <c r="B60" s="6" t="s">
        <v>86</v>
      </c>
      <c r="C60" s="6" t="s">
        <v>11</v>
      </c>
      <c r="D60" s="6" t="s">
        <v>48</v>
      </c>
      <c r="E60" s="16">
        <v>0</v>
      </c>
      <c r="F60" s="6">
        <v>2079080000</v>
      </c>
      <c r="G60" s="2" t="s">
        <v>204</v>
      </c>
    </row>
    <row r="61" spans="2:7" x14ac:dyDescent="0.2">
      <c r="B61" s="6" t="s">
        <v>86</v>
      </c>
      <c r="C61" s="6">
        <v>1007</v>
      </c>
      <c r="D61" s="6" t="s">
        <v>39</v>
      </c>
      <c r="E61" s="16">
        <v>0</v>
      </c>
      <c r="F61" s="6">
        <v>2079080000</v>
      </c>
      <c r="G61" s="2" t="s">
        <v>163</v>
      </c>
    </row>
    <row r="62" spans="2:7" x14ac:dyDescent="0.2">
      <c r="B62" s="6" t="s">
        <v>87</v>
      </c>
      <c r="C62" s="6" t="s">
        <v>11</v>
      </c>
      <c r="D62" s="6" t="s">
        <v>48</v>
      </c>
      <c r="E62" s="16">
        <v>0</v>
      </c>
      <c r="F62" s="6">
        <v>2082280000</v>
      </c>
      <c r="G62" s="2" t="s">
        <v>205</v>
      </c>
    </row>
    <row r="63" spans="2:7" x14ac:dyDescent="0.2">
      <c r="B63" s="6" t="s">
        <v>87</v>
      </c>
      <c r="C63" s="6">
        <v>1009</v>
      </c>
      <c r="D63" s="6" t="s">
        <v>36</v>
      </c>
      <c r="E63" s="16">
        <v>0</v>
      </c>
      <c r="F63" s="6">
        <v>2082280000</v>
      </c>
      <c r="G63" s="2" t="s">
        <v>165</v>
      </c>
    </row>
    <row r="64" spans="2:7" x14ac:dyDescent="0.2">
      <c r="B64" s="6" t="s">
        <v>87</v>
      </c>
      <c r="C64" s="6">
        <v>1007</v>
      </c>
      <c r="D64" s="6" t="s">
        <v>38</v>
      </c>
      <c r="E64" s="16">
        <v>0</v>
      </c>
      <c r="F64" s="6">
        <v>2082280000</v>
      </c>
      <c r="G64" s="2" t="s">
        <v>166</v>
      </c>
    </row>
    <row r="65" spans="2:7" x14ac:dyDescent="0.2">
      <c r="B65" s="6" t="s">
        <v>87</v>
      </c>
      <c r="C65" s="6">
        <v>1008</v>
      </c>
      <c r="D65" s="6" t="s">
        <v>40</v>
      </c>
      <c r="E65" s="16">
        <v>0</v>
      </c>
      <c r="F65" s="6">
        <v>2082280000</v>
      </c>
      <c r="G65" s="2" t="s">
        <v>167</v>
      </c>
    </row>
    <row r="66" spans="2:7" x14ac:dyDescent="0.2">
      <c r="B66" s="6" t="s">
        <v>87</v>
      </c>
      <c r="C66" s="6">
        <v>1240</v>
      </c>
      <c r="D66" s="6" t="s">
        <v>45</v>
      </c>
      <c r="E66" s="16">
        <v>0</v>
      </c>
      <c r="F66" s="6">
        <v>2082280000</v>
      </c>
      <c r="G66" s="2" t="s">
        <v>168</v>
      </c>
    </row>
    <row r="67" spans="2:7" x14ac:dyDescent="0.2">
      <c r="B67" s="6" t="s">
        <v>87</v>
      </c>
      <c r="C67" s="6">
        <v>1006</v>
      </c>
      <c r="D67" s="6" t="s">
        <v>55</v>
      </c>
      <c r="E67" s="16">
        <v>0</v>
      </c>
      <c r="F67" s="6">
        <v>2082280000</v>
      </c>
      <c r="G67" s="2" t="s">
        <v>206</v>
      </c>
    </row>
    <row r="68" spans="2:7" x14ac:dyDescent="0.2">
      <c r="B68" s="6" t="s">
        <v>87</v>
      </c>
      <c r="C68" s="6">
        <v>111111</v>
      </c>
      <c r="D68" s="6" t="s">
        <v>104</v>
      </c>
      <c r="E68" s="16">
        <v>-73809.511999999988</v>
      </c>
      <c r="F68" s="6">
        <v>2082280000</v>
      </c>
      <c r="G68" s="2" t="s">
        <v>169</v>
      </c>
    </row>
    <row r="69" spans="2:7" x14ac:dyDescent="0.2">
      <c r="B69" s="6" t="s">
        <v>88</v>
      </c>
      <c r="C69" s="6">
        <v>111101</v>
      </c>
      <c r="D69" s="6" t="s">
        <v>1</v>
      </c>
      <c r="E69" s="16">
        <v>7173.195999999999</v>
      </c>
      <c r="F69" s="6">
        <v>2082208200</v>
      </c>
      <c r="G69" s="2" t="s">
        <v>171</v>
      </c>
    </row>
    <row r="70" spans="2:7" x14ac:dyDescent="0.2">
      <c r="B70" s="6" t="s">
        <v>89</v>
      </c>
      <c r="C70" s="6">
        <v>88</v>
      </c>
      <c r="D70" s="6" t="s">
        <v>33</v>
      </c>
      <c r="E70" s="16">
        <v>2324465.8859999999</v>
      </c>
      <c r="F70" s="6">
        <v>2082214000</v>
      </c>
      <c r="G70" s="2" t="s">
        <v>172</v>
      </c>
    </row>
    <row r="71" spans="2:7" x14ac:dyDescent="0.2">
      <c r="B71" s="6" t="s">
        <v>89</v>
      </c>
      <c r="C71" s="6">
        <v>1007</v>
      </c>
      <c r="D71" s="6" t="s">
        <v>39</v>
      </c>
      <c r="E71" s="16">
        <v>0</v>
      </c>
      <c r="F71" s="6">
        <v>2082214000</v>
      </c>
      <c r="G71" s="2" t="s">
        <v>207</v>
      </c>
    </row>
    <row r="72" spans="2:7" x14ac:dyDescent="0.2">
      <c r="B72" s="6" t="s">
        <v>89</v>
      </c>
      <c r="C72" s="6">
        <v>111111</v>
      </c>
      <c r="D72" s="6" t="s">
        <v>104</v>
      </c>
      <c r="E72" s="16">
        <v>51.454999999999998</v>
      </c>
      <c r="F72" s="6">
        <v>2082214000</v>
      </c>
      <c r="G72" s="2" t="s">
        <v>208</v>
      </c>
    </row>
    <row r="73" spans="2:7" x14ac:dyDescent="0.2">
      <c r="B73" s="6" t="s">
        <v>107</v>
      </c>
      <c r="C73" s="6">
        <v>111101</v>
      </c>
      <c r="D73" s="6" t="s">
        <v>1</v>
      </c>
      <c r="E73" s="16">
        <v>0</v>
      </c>
      <c r="F73" s="6">
        <v>2082110000</v>
      </c>
      <c r="G73" s="2" t="s">
        <v>224</v>
      </c>
    </row>
    <row r="74" spans="2:7" x14ac:dyDescent="0.2">
      <c r="B74" s="6" t="s">
        <v>90</v>
      </c>
      <c r="C74" s="6">
        <v>111101</v>
      </c>
      <c r="D74" s="6" t="s">
        <v>1</v>
      </c>
      <c r="E74" s="16">
        <v>2558.1950000000002</v>
      </c>
      <c r="F74" s="6">
        <v>2091200000</v>
      </c>
      <c r="G74" s="2" t="s">
        <v>173</v>
      </c>
    </row>
    <row r="75" spans="2:7" x14ac:dyDescent="0.2">
      <c r="B75" s="6" t="s">
        <v>91</v>
      </c>
      <c r="C75" s="6">
        <v>111101</v>
      </c>
      <c r="D75" s="6" t="s">
        <v>1</v>
      </c>
      <c r="E75" s="16">
        <v>522710.353</v>
      </c>
      <c r="F75" s="6">
        <v>2091200001</v>
      </c>
      <c r="G75" s="2" t="s">
        <v>174</v>
      </c>
    </row>
    <row r="76" spans="2:7" x14ac:dyDescent="0.2">
      <c r="B76" s="6" t="s">
        <v>92</v>
      </c>
      <c r="C76" s="6">
        <v>111101</v>
      </c>
      <c r="D76" s="6" t="s">
        <v>1</v>
      </c>
      <c r="E76" s="16">
        <v>-160303.52199999997</v>
      </c>
      <c r="F76" s="6">
        <v>2092200000</v>
      </c>
      <c r="G76" s="2" t="s">
        <v>175</v>
      </c>
    </row>
    <row r="77" spans="2:7" x14ac:dyDescent="0.2">
      <c r="B77" s="6" t="s">
        <v>29</v>
      </c>
      <c r="C77" s="6">
        <v>111101</v>
      </c>
      <c r="D77" s="6" t="s">
        <v>1</v>
      </c>
      <c r="E77" s="16">
        <v>0</v>
      </c>
      <c r="F77" s="6">
        <v>2111111997</v>
      </c>
      <c r="G77" s="2" t="s">
        <v>225</v>
      </c>
    </row>
    <row r="78" spans="2:7" x14ac:dyDescent="0.2">
      <c r="B78" s="18" t="s">
        <v>65</v>
      </c>
      <c r="C78" s="18">
        <v>111101</v>
      </c>
      <c r="D78" s="18" t="s">
        <v>1</v>
      </c>
      <c r="E78" s="19">
        <v>-779290.47600000002</v>
      </c>
      <c r="F78" s="18">
        <v>2111111999</v>
      </c>
      <c r="G78" s="2" t="s">
        <v>211</v>
      </c>
    </row>
    <row r="79" spans="2:7" x14ac:dyDescent="0.2">
      <c r="C79" s="6"/>
    </row>
    <row r="80" spans="2:7" x14ac:dyDescent="0.2">
      <c r="C80" s="6"/>
    </row>
    <row r="81" spans="3:3" x14ac:dyDescent="0.2">
      <c r="C81" s="6"/>
    </row>
    <row r="82" spans="3:3" x14ac:dyDescent="0.2">
      <c r="C82" s="6"/>
    </row>
    <row r="83" spans="3:3" x14ac:dyDescent="0.2">
      <c r="C83" s="6"/>
    </row>
    <row r="84" spans="3:3" x14ac:dyDescent="0.2">
      <c r="C84" s="6"/>
    </row>
    <row r="85" spans="3:3" x14ac:dyDescent="0.2">
      <c r="C85" s="6"/>
    </row>
    <row r="86" spans="3:3" x14ac:dyDescent="0.2">
      <c r="C86" s="6"/>
    </row>
    <row r="87" spans="3:3" x14ac:dyDescent="0.2">
      <c r="C87" s="6"/>
    </row>
    <row r="88" spans="3:3" x14ac:dyDescent="0.2">
      <c r="C88" s="6"/>
    </row>
    <row r="89" spans="3:3" x14ac:dyDescent="0.2">
      <c r="C89" s="6"/>
    </row>
    <row r="90" spans="3:3" x14ac:dyDescent="0.2">
      <c r="C90" s="6"/>
    </row>
    <row r="91" spans="3:3" x14ac:dyDescent="0.2">
      <c r="C91" s="6"/>
    </row>
    <row r="92" spans="3:3" x14ac:dyDescent="0.2">
      <c r="C92" s="6"/>
    </row>
    <row r="93" spans="3:3" x14ac:dyDescent="0.2">
      <c r="C93" s="6"/>
    </row>
    <row r="94" spans="3:3" x14ac:dyDescent="0.2">
      <c r="C94" s="6"/>
    </row>
    <row r="95" spans="3:3" x14ac:dyDescent="0.2">
      <c r="C95" s="6"/>
    </row>
    <row r="96" spans="3:3" x14ac:dyDescent="0.2">
      <c r="C96" s="6"/>
    </row>
    <row r="97" spans="3:3" x14ac:dyDescent="0.2">
      <c r="C97" s="6"/>
    </row>
    <row r="98" spans="3:3" x14ac:dyDescent="0.2">
      <c r="C98" s="6"/>
    </row>
    <row r="99" spans="3:3" x14ac:dyDescent="0.2">
      <c r="C99" s="6"/>
    </row>
    <row r="100" spans="3:3" x14ac:dyDescent="0.2">
      <c r="C100" s="6"/>
    </row>
    <row r="101" spans="3:3" x14ac:dyDescent="0.2">
      <c r="C101" s="6"/>
    </row>
    <row r="102" spans="3:3" x14ac:dyDescent="0.2">
      <c r="C102" s="6"/>
    </row>
    <row r="103" spans="3:3" x14ac:dyDescent="0.2">
      <c r="C103" s="6"/>
    </row>
    <row r="104" spans="3:3" x14ac:dyDescent="0.2">
      <c r="C104" s="6"/>
    </row>
    <row r="105" spans="3:3" x14ac:dyDescent="0.2">
      <c r="C105" s="6"/>
    </row>
    <row r="106" spans="3:3" x14ac:dyDescent="0.2">
      <c r="C106" s="6"/>
    </row>
    <row r="107" spans="3:3" x14ac:dyDescent="0.2">
      <c r="C107" s="6"/>
    </row>
    <row r="108" spans="3:3" x14ac:dyDescent="0.2">
      <c r="C108" s="6"/>
    </row>
    <row r="109" spans="3:3" x14ac:dyDescent="0.2">
      <c r="C109" s="6"/>
    </row>
    <row r="110" spans="3:3" x14ac:dyDescent="0.2">
      <c r="C110" s="6"/>
    </row>
    <row r="111" spans="3:3" x14ac:dyDescent="0.2">
      <c r="C111" s="6"/>
    </row>
    <row r="112" spans="3:3" x14ac:dyDescent="0.2">
      <c r="C112" s="6"/>
    </row>
    <row r="113" spans="3:3" x14ac:dyDescent="0.2">
      <c r="C113" s="6"/>
    </row>
    <row r="114" spans="3:3" x14ac:dyDescent="0.2">
      <c r="C114" s="6"/>
    </row>
    <row r="115" spans="3:3" x14ac:dyDescent="0.2">
      <c r="C115" s="6"/>
    </row>
    <row r="116" spans="3:3" x14ac:dyDescent="0.2">
      <c r="C116" s="6"/>
    </row>
    <row r="117" spans="3:3" x14ac:dyDescent="0.2">
      <c r="C117" s="6"/>
    </row>
  </sheetData>
  <autoFilter ref="B4:F7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topLeftCell="A2" workbookViewId="0">
      <selection activeCell="L26" sqref="L26"/>
    </sheetView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109"/>
  <sheetViews>
    <sheetView workbookViewId="0">
      <selection activeCell="H110" sqref="H110"/>
    </sheetView>
  </sheetViews>
  <sheetFormatPr defaultColWidth="9.109375" defaultRowHeight="11.4" x14ac:dyDescent="0.2"/>
  <cols>
    <col min="1" max="1" width="2" style="2" customWidth="1"/>
    <col min="2" max="2" width="24.5546875" style="2" bestFit="1" customWidth="1"/>
    <col min="3" max="3" width="34.77734375" style="2" bestFit="1" customWidth="1"/>
    <col min="4" max="4" width="9.109375" style="2"/>
    <col min="5" max="5" width="23.77734375" style="2" bestFit="1" customWidth="1"/>
    <col min="6" max="6" width="9.88671875" style="2" bestFit="1" customWidth="1"/>
    <col min="7" max="8" width="11.109375" style="2" bestFit="1" customWidth="1"/>
    <col min="9" max="16384" width="9.109375" style="2"/>
  </cols>
  <sheetData>
    <row r="1" spans="2:9" ht="15.6" x14ac:dyDescent="0.3">
      <c r="B1" s="3" t="s">
        <v>57</v>
      </c>
    </row>
    <row r="3" spans="2:9" ht="12.6" thickBot="1" x14ac:dyDescent="0.3">
      <c r="B3" s="24" t="s">
        <v>177</v>
      </c>
      <c r="C3" s="24" t="s">
        <v>100</v>
      </c>
      <c r="D3" s="24" t="s">
        <v>32</v>
      </c>
      <c r="E3" s="24" t="s">
        <v>101</v>
      </c>
      <c r="F3" s="25" t="s">
        <v>226</v>
      </c>
      <c r="G3" s="25" t="s">
        <v>227</v>
      </c>
      <c r="H3" s="25" t="s">
        <v>228</v>
      </c>
      <c r="I3" s="26" t="s">
        <v>229</v>
      </c>
    </row>
    <row r="4" spans="2:9" x14ac:dyDescent="0.2">
      <c r="B4" s="2" t="s">
        <v>121</v>
      </c>
      <c r="C4" s="2" t="str">
        <f>INDEX('1.1 FY2016'!B$5:B$61, MATCH('2.1 Database'!$B4,'1.1 FY2016'!$G$5:$G$61,0))</f>
        <v>Core business revenues</v>
      </c>
      <c r="D4" s="2">
        <f>INDEX('1.1 FY2016'!C$5:C$61, MATCH('2.1 Database'!$B4,'1.1 FY2016'!$G$5:$G$61,0))</f>
        <v>111111</v>
      </c>
      <c r="E4" s="2" t="str">
        <f>INDEX('1.1 FY2016'!D$5:D$61, MATCH('2.1 Database'!$B4,'1.1 FY2016'!$G$5:$G$61,0))</f>
        <v>External</v>
      </c>
      <c r="F4" s="2">
        <f>-SUMIF('1.1 FY2016'!$G$5:$G$61,'2.1 Database'!$B4,'1.1 FY2016'!$E$5:$E$61)</f>
        <v>14500341</v>
      </c>
      <c r="G4" s="2">
        <f>-SUMIF('1.2 FY2017'!$G:$G,'2.1 Database'!B4,'1.2 FY2017'!$E:$E)</f>
        <v>15792898.75</v>
      </c>
      <c r="H4" s="2">
        <f>-SUMIF('1.3 FY2018'!$G$5:$G$78,'2.1 Database'!$B4,'1.3 FY2018'!$E$5:$E$78)</f>
        <v>14431341</v>
      </c>
      <c r="I4" s="2" t="s">
        <v>230</v>
      </c>
    </row>
    <row r="5" spans="2:9" x14ac:dyDescent="0.2">
      <c r="B5" s="2" t="s">
        <v>122</v>
      </c>
      <c r="C5" s="2" t="str">
        <f>INDEX('1.1 FY2016'!B$5:B$61, MATCH('2.1 Database'!$B5,'1.1 FY2016'!$G$5:$G$61,0))</f>
        <v>Other revenues</v>
      </c>
      <c r="D5" s="2">
        <f>INDEX('1.1 FY2016'!C$5:C$61, MATCH('2.1 Database'!$B5,'1.1 FY2016'!$G$5:$G$61,0))</f>
        <v>111111</v>
      </c>
      <c r="E5" s="2" t="str">
        <f>INDEX('1.1 FY2016'!D$5:D$61, MATCH('2.1 Database'!$B5,'1.1 FY2016'!$G$5:$G$61,0))</f>
        <v>External</v>
      </c>
      <c r="F5" s="2">
        <f>-SUMIF('1.1 FY2016'!$G$5:$G$61,'2.1 Database'!$B5,'1.1 FY2016'!$E$5:$E$61)</f>
        <v>4794856.1919999998</v>
      </c>
      <c r="G5" s="2">
        <f>-SUMIF('1.2 FY2017'!$G:$G,'2.1 Database'!B5,'1.2 FY2017'!$E:$E)</f>
        <v>6960217.6449999996</v>
      </c>
      <c r="H5" s="2">
        <f>-SUMIF('1.3 FY2018'!$G$5:$G$78,'2.1 Database'!$B5,'1.3 FY2018'!$E$5:$E$78)</f>
        <v>6373617.5140000004</v>
      </c>
      <c r="I5" s="2" t="s">
        <v>67</v>
      </c>
    </row>
    <row r="6" spans="2:9" x14ac:dyDescent="0.2">
      <c r="B6" s="2" t="s">
        <v>123</v>
      </c>
      <c r="C6" s="2" t="str">
        <f>INDEX('1.1 FY2016'!B$5:B$61, MATCH('2.1 Database'!$B6,'1.1 FY2016'!$G$5:$G$61,0))</f>
        <v>Capitalized costs</v>
      </c>
      <c r="D6" s="2">
        <f>INDEX('1.1 FY2016'!C$5:C$61, MATCH('2.1 Database'!$B6,'1.1 FY2016'!$G$5:$G$61,0))</f>
        <v>1009</v>
      </c>
      <c r="E6" s="2" t="str">
        <f>INDEX('1.1 FY2016'!D$5:D$61, MATCH('2.1 Database'!$B6,'1.1 FY2016'!$G$5:$G$61,0))</f>
        <v>Green Ventures Ltd</v>
      </c>
      <c r="F6" s="2">
        <f>-SUMIF('1.1 FY2016'!$G$5:$G$61,'2.1 Database'!$B6,'1.1 FY2016'!$E$5:$E$61)</f>
        <v>154890.4</v>
      </c>
      <c r="G6" s="2">
        <f>-SUMIF('1.2 FY2017'!$G:$G,'2.1 Database'!B6,'1.2 FY2017'!$E:$E)</f>
        <v>0</v>
      </c>
      <c r="H6" s="2">
        <f>-SUMIF('1.3 FY2018'!$G$5:$G$78,'2.1 Database'!$B6,'1.3 FY2018'!$E$5:$E$78)</f>
        <v>0</v>
      </c>
      <c r="I6" s="2" t="s">
        <v>68</v>
      </c>
    </row>
    <row r="7" spans="2:9" x14ac:dyDescent="0.2">
      <c r="B7" s="2" t="s">
        <v>120</v>
      </c>
      <c r="C7" s="2" t="str">
        <f>INDEX('1.1 FY2016'!B$5:B$61, MATCH('2.1 Database'!$B7,'1.1 FY2016'!$G$5:$G$61,0))</f>
        <v>Capitalized costs</v>
      </c>
      <c r="D7" s="2">
        <f>INDEX('1.1 FY2016'!C$5:C$61, MATCH('2.1 Database'!$B7,'1.1 FY2016'!$G$5:$G$61,0))</f>
        <v>1007</v>
      </c>
      <c r="E7" s="2" t="str">
        <f>INDEX('1.1 FY2016'!D$5:D$61, MATCH('2.1 Database'!$B7,'1.1 FY2016'!$G$5:$G$61,0))</f>
        <v>Generco Sunshine JSC</v>
      </c>
      <c r="F7" s="2">
        <f>-SUMIF('1.1 FY2016'!$G$5:$G$61,'2.1 Database'!$B7,'1.1 FY2016'!$E$5:$E$61)</f>
        <v>1180894.0520000001</v>
      </c>
      <c r="G7" s="2">
        <f>-SUMIF('1.2 FY2017'!$G:$G,'2.1 Database'!B7,'1.2 FY2017'!$E:$E)</f>
        <v>89234.880000000005</v>
      </c>
      <c r="H7" s="2">
        <f>-SUMIF('1.3 FY2018'!$G$5:$G$78,'2.1 Database'!$B7,'1.3 FY2018'!$E$5:$E$78)</f>
        <v>0</v>
      </c>
      <c r="I7" s="2" t="s">
        <v>68</v>
      </c>
    </row>
    <row r="8" spans="2:9" x14ac:dyDescent="0.2">
      <c r="B8" s="2" t="s">
        <v>124</v>
      </c>
      <c r="C8" s="2" t="str">
        <f>INDEX('1.1 FY2016'!B$5:B$61, MATCH('2.1 Database'!$B8,'1.1 FY2016'!$G$5:$G$61,0))</f>
        <v>Capitalized costs</v>
      </c>
      <c r="D8" s="2">
        <f>INDEX('1.1 FY2016'!C$5:C$61, MATCH('2.1 Database'!$B8,'1.1 FY2016'!$G$5:$G$61,0))</f>
        <v>1008</v>
      </c>
      <c r="E8" s="2" t="str">
        <f>INDEX('1.1 FY2016'!D$5:D$61, MATCH('2.1 Database'!$B8,'1.1 FY2016'!$G$5:$G$61,0))</f>
        <v>Greenco Ltd</v>
      </c>
      <c r="F8" s="2">
        <f>-SUMIF('1.1 FY2016'!$G$5:$G$61,'2.1 Database'!$B8,'1.1 FY2016'!$E$5:$E$61)</f>
        <v>793079.51199999999</v>
      </c>
      <c r="G8" s="2">
        <f>-SUMIF('1.2 FY2017'!$G:$G,'2.1 Database'!B8,'1.2 FY2017'!$E:$E)</f>
        <v>26173</v>
      </c>
      <c r="H8" s="2">
        <f>-SUMIF('1.3 FY2018'!$G$5:$G$78,'2.1 Database'!$B8,'1.3 FY2018'!$E$5:$E$78)</f>
        <v>0</v>
      </c>
      <c r="I8" s="2" t="s">
        <v>68</v>
      </c>
    </row>
    <row r="9" spans="2:9" x14ac:dyDescent="0.2">
      <c r="B9" s="2" t="s">
        <v>125</v>
      </c>
      <c r="C9" s="2" t="str">
        <f>INDEX('1.1 FY2016'!B$5:B$61, MATCH('2.1 Database'!$B9,'1.1 FY2016'!$G$5:$G$61,0))</f>
        <v>Capitalized costs</v>
      </c>
      <c r="D9" s="2">
        <f>INDEX('1.1 FY2016'!C$5:C$61, MATCH('2.1 Database'!$B9,'1.1 FY2016'!$G$5:$G$61,0))</f>
        <v>111101</v>
      </c>
      <c r="E9" s="2" t="str">
        <f>INDEX('1.1 FY2016'!D$5:D$61, MATCH('2.1 Database'!$B9,'1.1 FY2016'!$G$5:$G$61,0))</f>
        <v>Not assigned</v>
      </c>
      <c r="F9" s="2">
        <f>-SUMIF('1.1 FY2016'!$G$5:$G$61,'2.1 Database'!$B9,'1.1 FY2016'!$E$5:$E$61)</f>
        <v>2277197.6</v>
      </c>
      <c r="G9" s="2">
        <f>-SUMIF('1.2 FY2017'!$G:$G,'2.1 Database'!B9,'1.2 FY2017'!$E:$E)</f>
        <v>209401.92</v>
      </c>
      <c r="H9" s="2">
        <f>-SUMIF('1.3 FY2018'!$G$5:$G$78,'2.1 Database'!$B9,'1.3 FY2018'!$E$5:$E$78)</f>
        <v>0</v>
      </c>
      <c r="I9" s="2" t="s">
        <v>68</v>
      </c>
    </row>
    <row r="10" spans="2:9" x14ac:dyDescent="0.2">
      <c r="B10" s="2" t="s">
        <v>126</v>
      </c>
      <c r="C10" s="2" t="str">
        <f>INDEX('1.1 FY2016'!B$5:B$61, MATCH('2.1 Database'!$B10,'1.1 FY2016'!$G$5:$G$61,0))</f>
        <v>Direct costs</v>
      </c>
      <c r="D10" s="2">
        <f>INDEX('1.1 FY2016'!C$5:C$61, MATCH('2.1 Database'!$B10,'1.1 FY2016'!$G$5:$G$61,0))</f>
        <v>111111</v>
      </c>
      <c r="E10" s="2" t="str">
        <f>INDEX('1.1 FY2016'!D$5:D$61, MATCH('2.1 Database'!$B10,'1.1 FY2016'!$G$5:$G$61,0))</f>
        <v>External</v>
      </c>
      <c r="F10" s="2">
        <f>-SUMIF('1.1 FY2016'!$G$5:$G$61,'2.1 Database'!$B10,'1.1 FY2016'!$E$5:$E$61)</f>
        <v>-4428911.7640000004</v>
      </c>
      <c r="G10" s="2">
        <f>-SUMIF('1.2 FY2017'!$G:$G,'2.1 Database'!B10,'1.2 FY2017'!$E:$E)</f>
        <v>-5463188.8250000002</v>
      </c>
      <c r="H10" s="2">
        <f>-SUMIF('1.3 FY2018'!$G$5:$G$78,'2.1 Database'!$B10,'1.3 FY2018'!$E$5:$E$78)</f>
        <v>-5674152.0669999998</v>
      </c>
      <c r="I10" s="2" t="s">
        <v>105</v>
      </c>
    </row>
    <row r="11" spans="2:9" x14ac:dyDescent="0.2">
      <c r="B11" s="2" t="s">
        <v>127</v>
      </c>
      <c r="C11" s="2" t="str">
        <f>INDEX('1.1 FY2016'!B$5:B$61, MATCH('2.1 Database'!$B11,'1.1 FY2016'!$G$5:$G$61,0))</f>
        <v>Freight outbound expenses</v>
      </c>
      <c r="D11" s="2">
        <f>INDEX('1.1 FY2016'!C$5:C$61, MATCH('2.1 Database'!$B11,'1.1 FY2016'!$G$5:$G$61,0))</f>
        <v>111111</v>
      </c>
      <c r="E11" s="2" t="str">
        <f>INDEX('1.1 FY2016'!D$5:D$61, MATCH('2.1 Database'!$B11,'1.1 FY2016'!$G$5:$G$61,0))</f>
        <v>External</v>
      </c>
      <c r="F11" s="2">
        <f>-SUMIF('1.1 FY2016'!$G$5:$G$61,'2.1 Database'!$B11,'1.1 FY2016'!$E$5:$E$61)</f>
        <v>-16977.628000000001</v>
      </c>
      <c r="G11" s="2">
        <f>-SUMIF('1.2 FY2017'!$G:$G,'2.1 Database'!B11,'1.2 FY2017'!$E:$E)</f>
        <v>-343675</v>
      </c>
      <c r="H11" s="2">
        <f>-SUMIF('1.3 FY2018'!$G$5:$G$78,'2.1 Database'!$B11,'1.3 FY2018'!$E$5:$E$78)</f>
        <v>-350370.99399999995</v>
      </c>
      <c r="I11" s="2" t="s">
        <v>231</v>
      </c>
    </row>
    <row r="12" spans="2:9" x14ac:dyDescent="0.2">
      <c r="B12" s="2" t="s">
        <v>128</v>
      </c>
      <c r="C12" s="2" t="str">
        <f>INDEX('1.1 FY2016'!B$5:B$61, MATCH('2.1 Database'!$B12,'1.1 FY2016'!$G$5:$G$61,0))</f>
        <v>R&amp;D expenses</v>
      </c>
      <c r="D12" s="2">
        <f>INDEX('1.1 FY2016'!C$5:C$61, MATCH('2.1 Database'!$B12,'1.1 FY2016'!$G$5:$G$61,0))</f>
        <v>88</v>
      </c>
      <c r="E12" s="2" t="str">
        <f>INDEX('1.1 FY2016'!D$5:D$61, MATCH('2.1 Database'!$B12,'1.1 FY2016'!$G$5:$G$61,0))</f>
        <v>Generco Ltd</v>
      </c>
      <c r="F12" s="2">
        <f>-SUMIF('1.1 FY2016'!$G$5:$G$61,'2.1 Database'!$B12,'1.1 FY2016'!$E$5:$E$61)</f>
        <v>-2245437.54</v>
      </c>
      <c r="G12" s="2">
        <f>-SUMIF('1.2 FY2017'!$G:$G,'2.1 Database'!B12,'1.2 FY2017'!$E:$E)</f>
        <v>-1980162.23</v>
      </c>
      <c r="H12" s="2">
        <f>-SUMIF('1.3 FY2018'!$G$5:$G$78,'2.1 Database'!$B12,'1.3 FY2018'!$E$5:$E$78)</f>
        <v>-3116017.1540000001</v>
      </c>
      <c r="I12" s="2" t="s">
        <v>231</v>
      </c>
    </row>
    <row r="13" spans="2:9" x14ac:dyDescent="0.2">
      <c r="B13" s="2" t="s">
        <v>129</v>
      </c>
      <c r="C13" s="2" t="str">
        <f>INDEX('1.1 FY2016'!B$5:B$61, MATCH('2.1 Database'!$B13,'1.1 FY2016'!$G$5:$G$61,0))</f>
        <v>R&amp;D expenses</v>
      </c>
      <c r="D13" s="2">
        <f>INDEX('1.1 FY2016'!C$5:C$61, MATCH('2.1 Database'!$B13,'1.1 FY2016'!$G$5:$G$61,0))</f>
        <v>111111</v>
      </c>
      <c r="E13" s="2" t="str">
        <f>INDEX('1.1 FY2016'!D$5:D$61, MATCH('2.1 Database'!$B13,'1.1 FY2016'!$G$5:$G$61,0))</f>
        <v>External</v>
      </c>
      <c r="F13" s="2">
        <f>-SUMIF('1.1 FY2016'!$G$5:$G$61,'2.1 Database'!$B13,'1.1 FY2016'!$E$5:$E$61)</f>
        <v>-16605.634000000002</v>
      </c>
      <c r="G13" s="2">
        <f>-SUMIF('1.2 FY2017'!$G:$G,'2.1 Database'!B13,'1.2 FY2017'!$E:$E)</f>
        <v>-27148.625</v>
      </c>
      <c r="H13" s="2">
        <f>-SUMIF('1.3 FY2018'!$G$5:$G$78,'2.1 Database'!$B13,'1.3 FY2018'!$E$5:$E$78)</f>
        <v>-9783.7069999999985</v>
      </c>
      <c r="I13" s="2" t="s">
        <v>231</v>
      </c>
    </row>
    <row r="14" spans="2:9" x14ac:dyDescent="0.2">
      <c r="B14" s="2" t="s">
        <v>130</v>
      </c>
      <c r="C14" s="2" t="str">
        <f>INDEX('1.1 FY2016'!B$5:B$61, MATCH('2.1 Database'!$B14,'1.1 FY2016'!$G$5:$G$61,0))</f>
        <v>Wages and salaries</v>
      </c>
      <c r="D14" s="2">
        <f>INDEX('1.1 FY2016'!C$5:C$61, MATCH('2.1 Database'!$B14,'1.1 FY2016'!$G$5:$G$61,0))</f>
        <v>111111</v>
      </c>
      <c r="E14" s="2" t="str">
        <f>INDEX('1.1 FY2016'!D$5:D$61, MATCH('2.1 Database'!$B14,'1.1 FY2016'!$G$5:$G$61,0))</f>
        <v>External</v>
      </c>
      <c r="F14" s="2">
        <f>-SUMIF('1.1 FY2016'!$G$5:$G$61,'2.1 Database'!$B14,'1.1 FY2016'!$E$5:$E$61)</f>
        <v>-4683394.0460000001</v>
      </c>
      <c r="G14" s="2">
        <f>-SUMIF('1.2 FY2017'!$G:$G,'2.1 Database'!B14,'1.2 FY2017'!$E:$E)</f>
        <v>-5507141.0549999997</v>
      </c>
      <c r="H14" s="2">
        <f>-SUMIF('1.3 FY2018'!$G$5:$G$78,'2.1 Database'!$B14,'1.3 FY2018'!$E$5:$E$78)</f>
        <v>-3982699.5329999998</v>
      </c>
      <c r="I14" s="2" t="s">
        <v>232</v>
      </c>
    </row>
    <row r="15" spans="2:9" x14ac:dyDescent="0.2">
      <c r="B15" s="2" t="s">
        <v>131</v>
      </c>
      <c r="C15" s="2" t="str">
        <f>INDEX('1.1 FY2016'!B$5:B$61, MATCH('2.1 Database'!$B15,'1.1 FY2016'!$G$5:$G$61,0))</f>
        <v>Pension contributions</v>
      </c>
      <c r="D15" s="2">
        <f>INDEX('1.1 FY2016'!C$5:C$61, MATCH('2.1 Database'!$B15,'1.1 FY2016'!$G$5:$G$61,0))</f>
        <v>111101</v>
      </c>
      <c r="E15" s="2" t="str">
        <f>INDEX('1.1 FY2016'!D$5:D$61, MATCH('2.1 Database'!$B15,'1.1 FY2016'!$G$5:$G$61,0))</f>
        <v>Not assigned</v>
      </c>
      <c r="F15" s="2">
        <f>-SUMIF('1.1 FY2016'!$G$5:$G$61,'2.1 Database'!$B15,'1.1 FY2016'!$E$5:$E$61)</f>
        <v>-1143051.5760000001</v>
      </c>
      <c r="G15" s="2">
        <f>-SUMIF('1.2 FY2017'!$G:$G,'2.1 Database'!B15,'1.2 FY2017'!$E:$E)</f>
        <v>-2057298.04</v>
      </c>
      <c r="H15" s="2">
        <f>-SUMIF('1.3 FY2018'!$G$5:$G$78,'2.1 Database'!$B15,'1.3 FY2018'!$E$5:$E$78)</f>
        <v>-1709688.6429999997</v>
      </c>
      <c r="I15" s="2" t="s">
        <v>232</v>
      </c>
    </row>
    <row r="16" spans="2:9" x14ac:dyDescent="0.2">
      <c r="B16" s="2" t="s">
        <v>132</v>
      </c>
      <c r="C16" s="2" t="str">
        <f>INDEX('1.1 FY2016'!B$5:B$61, MATCH('2.1 Database'!$B16,'1.1 FY2016'!$G$5:$G$61,0))</f>
        <v>Pension contributions</v>
      </c>
      <c r="D16" s="2">
        <f>INDEX('1.1 FY2016'!C$5:C$61, MATCH('2.1 Database'!$B16,'1.1 FY2016'!$G$5:$G$61,0))</f>
        <v>88</v>
      </c>
      <c r="E16" s="2" t="str">
        <f>INDEX('1.1 FY2016'!D$5:D$61, MATCH('2.1 Database'!$B16,'1.1 FY2016'!$G$5:$G$61,0))</f>
        <v>Generco Ltd</v>
      </c>
      <c r="F16" s="2">
        <f>-SUMIF('1.1 FY2016'!$G$5:$G$61,'2.1 Database'!$B16,'1.1 FY2016'!$E$5:$E$61)</f>
        <v>-239379.61800000002</v>
      </c>
      <c r="G16" s="2">
        <f>-SUMIF('1.2 FY2017'!$G:$G,'2.1 Database'!B16,'1.2 FY2017'!$E:$E)</f>
        <v>0</v>
      </c>
      <c r="H16" s="2">
        <f>-SUMIF('1.3 FY2018'!$G$5:$G$78,'2.1 Database'!$B16,'1.3 FY2018'!$E$5:$E$78)</f>
        <v>0</v>
      </c>
      <c r="I16" s="2" t="s">
        <v>232</v>
      </c>
    </row>
    <row r="17" spans="2:9" x14ac:dyDescent="0.2">
      <c r="B17" s="2" t="s">
        <v>133</v>
      </c>
      <c r="C17" s="2" t="str">
        <f>INDEX('1.1 FY2016'!B$5:B$61, MATCH('2.1 Database'!$B17,'1.1 FY2016'!$G$5:$G$61,0))</f>
        <v>Severance indemnity contribution</v>
      </c>
      <c r="D17" s="2">
        <f>INDEX('1.1 FY2016'!C$5:C$61, MATCH('2.1 Database'!$B17,'1.1 FY2016'!$G$5:$G$61,0))</f>
        <v>111101</v>
      </c>
      <c r="E17" s="2" t="str">
        <f>INDEX('1.1 FY2016'!D$5:D$61, MATCH('2.1 Database'!$B17,'1.1 FY2016'!$G$5:$G$61,0))</f>
        <v>Not assigned</v>
      </c>
      <c r="F17" s="2">
        <f>-SUMIF('1.1 FY2016'!$G$5:$G$61,'2.1 Database'!$B17,'1.1 FY2016'!$E$5:$E$61)</f>
        <v>-104913.8</v>
      </c>
      <c r="G17" s="2">
        <f>-SUMIF('1.2 FY2017'!$G:$G,'2.1 Database'!B17,'1.2 FY2017'!$E:$E)</f>
        <v>-500500</v>
      </c>
      <c r="H17" s="2">
        <f>-SUMIF('1.3 FY2018'!$G$5:$G$78,'2.1 Database'!$B17,'1.3 FY2018'!$E$5:$E$78)</f>
        <v>-143500</v>
      </c>
      <c r="I17" s="2" t="s">
        <v>232</v>
      </c>
    </row>
    <row r="18" spans="2:9" x14ac:dyDescent="0.2">
      <c r="B18" s="2" t="s">
        <v>134</v>
      </c>
      <c r="C18" s="2" t="str">
        <f>INDEX('1.1 FY2016'!B$5:B$61, MATCH('2.1 Database'!$B18,'1.1 FY2016'!$G$5:$G$61,0))</f>
        <v>D&amp;A</v>
      </c>
      <c r="D18" s="2">
        <f>INDEX('1.1 FY2016'!C$5:C$61, MATCH('2.1 Database'!$B18,'1.1 FY2016'!$G$5:$G$61,0))</f>
        <v>111101</v>
      </c>
      <c r="E18" s="2" t="str">
        <f>INDEX('1.1 FY2016'!D$5:D$61, MATCH('2.1 Database'!$B18,'1.1 FY2016'!$G$5:$G$61,0))</f>
        <v>Not assigned</v>
      </c>
      <c r="F18" s="2">
        <f>-SUMIF('1.1 FY2016'!$G$5:$G$61,'2.1 Database'!$B18,'1.1 FY2016'!$E$5:$E$61)</f>
        <v>-2003262.2180000001</v>
      </c>
      <c r="G18" s="2">
        <f>-SUMIF('1.2 FY2017'!$G:$G,'2.1 Database'!B18,'1.2 FY2017'!$E:$E)</f>
        <v>-1897676.87</v>
      </c>
      <c r="H18" s="2">
        <f>-SUMIF('1.3 FY2018'!$G$5:$G$78,'2.1 Database'!$B18,'1.3 FY2018'!$E$5:$E$78)</f>
        <v>-1875768.159</v>
      </c>
      <c r="I18" s="2" t="s">
        <v>73</v>
      </c>
    </row>
    <row r="19" spans="2:9" x14ac:dyDescent="0.2">
      <c r="B19" s="2" t="s">
        <v>135</v>
      </c>
      <c r="C19" s="2" t="str">
        <f>INDEX('1.1 FY2016'!B$5:B$61, MATCH('2.1 Database'!$B19,'1.1 FY2016'!$G$5:$G$61,0))</f>
        <v>D&amp;A</v>
      </c>
      <c r="D19" s="2">
        <f>INDEX('1.1 FY2016'!C$5:C$61, MATCH('2.1 Database'!$B19,'1.1 FY2016'!$G$5:$G$61,0))</f>
        <v>1</v>
      </c>
      <c r="E19" s="2" t="str">
        <f>INDEX('1.1 FY2016'!D$5:D$61, MATCH('2.1 Database'!$B19,'1.1 FY2016'!$G$5:$G$61,0))</f>
        <v>Not assigned</v>
      </c>
      <c r="F19" s="2">
        <f>-SUMIF('1.1 FY2016'!$G$5:$G$61,'2.1 Database'!$B19,'1.1 FY2016'!$E$5:$E$61)</f>
        <v>-41981.296000000002</v>
      </c>
      <c r="G19" s="2">
        <f>-SUMIF('1.2 FY2017'!$G:$G,'2.1 Database'!B19,'1.2 FY2017'!$E:$E)</f>
        <v>0</v>
      </c>
      <c r="H19" s="2">
        <f>-SUMIF('1.3 FY2018'!$G$5:$G$78,'2.1 Database'!$B19,'1.3 FY2018'!$E$5:$E$78)</f>
        <v>0</v>
      </c>
      <c r="I19" s="2" t="s">
        <v>73</v>
      </c>
    </row>
    <row r="20" spans="2:9" x14ac:dyDescent="0.2">
      <c r="B20" s="2" t="s">
        <v>136</v>
      </c>
      <c r="C20" s="2" t="str">
        <f>INDEX('1.1 FY2016'!B$5:B$61, MATCH('2.1 Database'!$B20,'1.1 FY2016'!$G$5:$G$61,0))</f>
        <v>Corporate recharges</v>
      </c>
      <c r="D20" s="2" t="str">
        <f>INDEX('1.1 FY2016'!C$5:C$61, MATCH('2.1 Database'!$B20,'1.1 FY2016'!$G$5:$G$61,0))</f>
        <v>1</v>
      </c>
      <c r="E20" s="2" t="str">
        <f>INDEX('1.1 FY2016'!D$5:D$61, MATCH('2.1 Database'!$B20,'1.1 FY2016'!$G$5:$G$61,0))</f>
        <v>Greeny Ltd</v>
      </c>
      <c r="F20" s="2">
        <f>-SUMIF('1.1 FY2016'!$G$5:$G$61,'2.1 Database'!$B20,'1.1 FY2016'!$E$5:$E$61)</f>
        <v>2156147.4</v>
      </c>
      <c r="G20" s="2">
        <f>-SUMIF('1.2 FY2017'!$G:$G,'2.1 Database'!B20,'1.2 FY2017'!$E:$E)</f>
        <v>1643711.145</v>
      </c>
      <c r="H20" s="2">
        <f>-SUMIF('1.3 FY2018'!$G$5:$G$78,'2.1 Database'!$B20,'1.3 FY2018'!$E$5:$E$78)</f>
        <v>1418521.358</v>
      </c>
      <c r="I20" s="2" t="s">
        <v>233</v>
      </c>
    </row>
    <row r="21" spans="2:9" x14ac:dyDescent="0.2">
      <c r="B21" s="2" t="s">
        <v>137</v>
      </c>
      <c r="C21" s="2" t="str">
        <f>INDEX('1.1 FY2016'!B$5:B$61, MATCH('2.1 Database'!$B21,'1.1 FY2016'!$G$5:$G$61,0))</f>
        <v>Corporate recharges</v>
      </c>
      <c r="D21" s="2">
        <f>INDEX('1.1 FY2016'!C$5:C$61, MATCH('2.1 Database'!$B21,'1.1 FY2016'!$G$5:$G$61,0))</f>
        <v>14</v>
      </c>
      <c r="E21" s="2" t="str">
        <f>INDEX('1.1 FY2016'!D$5:D$61, MATCH('2.1 Database'!$B21,'1.1 FY2016'!$G$5:$G$61,0))</f>
        <v>Generco Cosmetics Ltd</v>
      </c>
      <c r="F21" s="2">
        <f>-SUMIF('1.1 FY2016'!$G$5:$G$61,'2.1 Database'!$B21,'1.1 FY2016'!$E$5:$E$61)</f>
        <v>291428.55199999997</v>
      </c>
      <c r="G21" s="2">
        <f>-SUMIF('1.2 FY2017'!$G:$G,'2.1 Database'!B21,'1.2 FY2017'!$E:$E)</f>
        <v>0</v>
      </c>
      <c r="H21" s="2">
        <f>-SUMIF('1.3 FY2018'!$G$5:$G$78,'2.1 Database'!$B21,'1.3 FY2018'!$E$5:$E$78)</f>
        <v>0</v>
      </c>
      <c r="I21" s="2" t="s">
        <v>233</v>
      </c>
    </row>
    <row r="22" spans="2:9" x14ac:dyDescent="0.2">
      <c r="B22" s="2" t="s">
        <v>138</v>
      </c>
      <c r="C22" s="2" t="str">
        <f>INDEX('1.1 FY2016'!B$5:B$61, MATCH('2.1 Database'!$B22,'1.1 FY2016'!$G$5:$G$61,0))</f>
        <v>Corporate recharges</v>
      </c>
      <c r="D22" s="2">
        <f>INDEX('1.1 FY2016'!C$5:C$61, MATCH('2.1 Database'!$B22,'1.1 FY2016'!$G$5:$G$61,0))</f>
        <v>1037</v>
      </c>
      <c r="E22" s="2" t="str">
        <f>INDEX('1.1 FY2016'!D$5:D$61, MATCH('2.1 Database'!$B22,'1.1 FY2016'!$G$5:$G$61,0))</f>
        <v>Generco Canada JSC</v>
      </c>
      <c r="F22" s="2">
        <f>-SUMIF('1.1 FY2016'!$G$5:$G$61,'2.1 Database'!$B22,'1.1 FY2016'!$E$5:$E$61)</f>
        <v>0</v>
      </c>
      <c r="G22" s="2">
        <f>-SUMIF('1.2 FY2017'!$G:$G,'2.1 Database'!B22,'1.2 FY2017'!$E:$E)</f>
        <v>0</v>
      </c>
      <c r="H22" s="2">
        <f>-SUMIF('1.3 FY2018'!$G$5:$G$78,'2.1 Database'!$B22,'1.3 FY2018'!$E$5:$E$78)</f>
        <v>0</v>
      </c>
      <c r="I22" s="2" t="s">
        <v>233</v>
      </c>
    </row>
    <row r="23" spans="2:9" x14ac:dyDescent="0.2">
      <c r="B23" s="2" t="s">
        <v>139</v>
      </c>
      <c r="C23" s="2" t="str">
        <f>INDEX('1.1 FY2016'!B$5:B$61, MATCH('2.1 Database'!$B23,'1.1 FY2016'!$G$5:$G$61,0))</f>
        <v>Corporate recharges</v>
      </c>
      <c r="D23" s="2" t="str">
        <f>INDEX('1.1 FY2016'!C$5:C$61, MATCH('2.1 Database'!$B23,'1.1 FY2016'!$G$5:$G$61,0))</f>
        <v>1087</v>
      </c>
      <c r="E23" s="2" t="str">
        <f>INDEX('1.1 FY2016'!D$5:D$61, MATCH('2.1 Database'!$B23,'1.1 FY2016'!$G$5:$G$61,0))</f>
        <v>Gener Beauty GmbH</v>
      </c>
      <c r="F23" s="2">
        <f>-SUMIF('1.1 FY2016'!$G$5:$G$61,'2.1 Database'!$B23,'1.1 FY2016'!$E$5:$E$61)</f>
        <v>33736.5</v>
      </c>
      <c r="G23" s="2">
        <f>-SUMIF('1.2 FY2017'!$G:$G,'2.1 Database'!B23,'1.2 FY2017'!$E:$E)</f>
        <v>0</v>
      </c>
      <c r="H23" s="2">
        <f>-SUMIF('1.3 FY2018'!$G$5:$G$78,'2.1 Database'!$B23,'1.3 FY2018'!$E$5:$E$78)</f>
        <v>0</v>
      </c>
      <c r="I23" s="2" t="s">
        <v>233</v>
      </c>
    </row>
    <row r="24" spans="2:9" x14ac:dyDescent="0.2">
      <c r="B24" s="2" t="s">
        <v>140</v>
      </c>
      <c r="C24" s="2" t="str">
        <f>INDEX('1.1 FY2016'!B$5:B$61, MATCH('2.1 Database'!$B24,'1.1 FY2016'!$G$5:$G$61,0))</f>
        <v>Corporate recharges</v>
      </c>
      <c r="D24" s="2">
        <f>INDEX('1.1 FY2016'!C$5:C$61, MATCH('2.1 Database'!$B24,'1.1 FY2016'!$G$5:$G$61,0))</f>
        <v>1009</v>
      </c>
      <c r="E24" s="2" t="str">
        <f>INDEX('1.1 FY2016'!D$5:D$61, MATCH('2.1 Database'!$B24,'1.1 FY2016'!$G$5:$G$61,0))</f>
        <v>Green Ventures Ltd</v>
      </c>
      <c r="F24" s="2">
        <f>-SUMIF('1.1 FY2016'!$G$5:$G$61,'2.1 Database'!$B24,'1.1 FY2016'!$E$5:$E$61)</f>
        <v>0</v>
      </c>
      <c r="G24" s="2">
        <f>-SUMIF('1.2 FY2017'!$G:$G,'2.1 Database'!B24,'1.2 FY2017'!$E:$E)</f>
        <v>0</v>
      </c>
      <c r="H24" s="2">
        <f>-SUMIF('1.3 FY2018'!$G$5:$G$78,'2.1 Database'!$B24,'1.3 FY2018'!$E$5:$E$78)</f>
        <v>0</v>
      </c>
      <c r="I24" s="2" t="s">
        <v>233</v>
      </c>
    </row>
    <row r="25" spans="2:9" x14ac:dyDescent="0.2">
      <c r="B25" s="2" t="s">
        <v>141</v>
      </c>
      <c r="C25" s="2" t="str">
        <f>INDEX('1.1 FY2016'!B$5:B$61, MATCH('2.1 Database'!$B25,'1.1 FY2016'!$G$5:$G$61,0))</f>
        <v>Corporate recharges</v>
      </c>
      <c r="D25" s="2">
        <f>INDEX('1.1 FY2016'!C$5:C$61, MATCH('2.1 Database'!$B25,'1.1 FY2016'!$G$5:$G$61,0))</f>
        <v>1007</v>
      </c>
      <c r="E25" s="2" t="str">
        <f>INDEX('1.1 FY2016'!D$5:D$61, MATCH('2.1 Database'!$B25,'1.1 FY2016'!$G$5:$G$61,0))</f>
        <v>Generco Sunshine JSC</v>
      </c>
      <c r="F25" s="2">
        <f>-SUMIF('1.1 FY2016'!$G$5:$G$61,'2.1 Database'!$B25,'1.1 FY2016'!$E$5:$E$61)</f>
        <v>0</v>
      </c>
      <c r="G25" s="2">
        <f>-SUMIF('1.2 FY2017'!$G:$G,'2.1 Database'!B25,'1.2 FY2017'!$E:$E)</f>
        <v>0</v>
      </c>
      <c r="H25" s="2">
        <f>-SUMIF('1.3 FY2018'!$G$5:$G$78,'2.1 Database'!$B25,'1.3 FY2018'!$E$5:$E$78)</f>
        <v>0</v>
      </c>
      <c r="I25" s="2" t="s">
        <v>233</v>
      </c>
    </row>
    <row r="26" spans="2:9" x14ac:dyDescent="0.2">
      <c r="B26" s="2" t="s">
        <v>142</v>
      </c>
      <c r="C26" s="2" t="str">
        <f>INDEX('1.1 FY2016'!B$5:B$61, MATCH('2.1 Database'!$B26,'1.1 FY2016'!$G$5:$G$61,0))</f>
        <v>Corporate recharges</v>
      </c>
      <c r="D26" s="2">
        <f>INDEX('1.1 FY2016'!C$5:C$61, MATCH('2.1 Database'!$B26,'1.1 FY2016'!$G$5:$G$61,0))</f>
        <v>1008</v>
      </c>
      <c r="E26" s="2" t="str">
        <f>INDEX('1.1 FY2016'!D$5:D$61, MATCH('2.1 Database'!$B26,'1.1 FY2016'!$G$5:$G$61,0))</f>
        <v>Greenco Ltd</v>
      </c>
      <c r="F26" s="2">
        <f>-SUMIF('1.1 FY2016'!$G$5:$G$61,'2.1 Database'!$B26,'1.1 FY2016'!$E$5:$E$61)</f>
        <v>0</v>
      </c>
      <c r="G26" s="2">
        <f>-SUMIF('1.2 FY2017'!$G:$G,'2.1 Database'!B26,'1.2 FY2017'!$E:$E)</f>
        <v>0</v>
      </c>
      <c r="H26" s="2">
        <f>-SUMIF('1.3 FY2018'!$G$5:$G$78,'2.1 Database'!$B26,'1.3 FY2018'!$E$5:$E$78)</f>
        <v>0</v>
      </c>
      <c r="I26" s="2" t="s">
        <v>233</v>
      </c>
    </row>
    <row r="27" spans="2:9" x14ac:dyDescent="0.2">
      <c r="B27" s="2" t="s">
        <v>143</v>
      </c>
      <c r="C27" s="2" t="str">
        <f>INDEX('1.1 FY2016'!B$5:B$61, MATCH('2.1 Database'!$B27,'1.1 FY2016'!$G$5:$G$61,0))</f>
        <v>Corporate recharges</v>
      </c>
      <c r="D27" s="2">
        <f>INDEX('1.1 FY2016'!C$5:C$61, MATCH('2.1 Database'!$B27,'1.1 FY2016'!$G$5:$G$61,0))</f>
        <v>1240</v>
      </c>
      <c r="E27" s="2" t="str">
        <f>INDEX('1.1 FY2016'!D$5:D$61, MATCH('2.1 Database'!$B27,'1.1 FY2016'!$G$5:$G$61,0))</f>
        <v xml:space="preserve">Generco UK </v>
      </c>
      <c r="F27" s="2">
        <f>-SUMIF('1.1 FY2016'!$G$5:$G$61,'2.1 Database'!$B27,'1.1 FY2016'!$E$5:$E$61)</f>
        <v>199600.4</v>
      </c>
      <c r="G27" s="2">
        <f>-SUMIF('1.2 FY2017'!$G:$G,'2.1 Database'!B27,'1.2 FY2017'!$E:$E)</f>
        <v>10461.36</v>
      </c>
      <c r="H27" s="2">
        <f>-SUMIF('1.3 FY2018'!$G$5:$G$78,'2.1 Database'!$B27,'1.3 FY2018'!$E$5:$E$78)</f>
        <v>0</v>
      </c>
      <c r="I27" s="2" t="s">
        <v>233</v>
      </c>
    </row>
    <row r="28" spans="2:9" x14ac:dyDescent="0.2">
      <c r="B28" s="2" t="s">
        <v>144</v>
      </c>
      <c r="C28" s="2" t="str">
        <f>INDEX('1.1 FY2016'!B$5:B$61, MATCH('2.1 Database'!$B28,'1.1 FY2016'!$G$5:$G$61,0))</f>
        <v>Corporate recharges</v>
      </c>
      <c r="D28" s="2">
        <f>INDEX('1.1 FY2016'!C$5:C$61, MATCH('2.1 Database'!$B28,'1.1 FY2016'!$G$5:$G$61,0))</f>
        <v>111111</v>
      </c>
      <c r="E28" s="2" t="str">
        <f>INDEX('1.1 FY2016'!D$5:D$61, MATCH('2.1 Database'!$B28,'1.1 FY2016'!$G$5:$G$61,0))</f>
        <v>External</v>
      </c>
      <c r="F28" s="2">
        <f>-SUMIF('1.1 FY2016'!$G$5:$G$61,'2.1 Database'!$B28,'1.1 FY2016'!$E$5:$E$61)</f>
        <v>539141.4</v>
      </c>
      <c r="G28" s="2">
        <f>-SUMIF('1.2 FY2017'!$G:$G,'2.1 Database'!B28,'1.2 FY2017'!$E:$E)</f>
        <v>6785.94</v>
      </c>
      <c r="H28" s="2">
        <f>-SUMIF('1.3 FY2018'!$G$5:$G$78,'2.1 Database'!$B28,'1.3 FY2018'!$E$5:$E$78)</f>
        <v>902857.84299999999</v>
      </c>
      <c r="I28" s="2" t="s">
        <v>233</v>
      </c>
    </row>
    <row r="29" spans="2:9" x14ac:dyDescent="0.2">
      <c r="B29" s="2" t="s">
        <v>145</v>
      </c>
      <c r="C29" s="2" t="str">
        <f>INDEX('1.1 FY2016'!B$5:B$61, MATCH('2.1 Database'!$B29,'1.1 FY2016'!$G$5:$G$61,0))</f>
        <v>Other income</v>
      </c>
      <c r="D29" s="2">
        <f>INDEX('1.1 FY2016'!C$5:C$61, MATCH('2.1 Database'!$B29,'1.1 FY2016'!$G$5:$G$61,0))</f>
        <v>111111</v>
      </c>
      <c r="E29" s="2" t="str">
        <f>INDEX('1.1 FY2016'!D$5:D$61, MATCH('2.1 Database'!$B29,'1.1 FY2016'!$G$5:$G$61,0))</f>
        <v>External</v>
      </c>
      <c r="F29" s="2">
        <f>-SUMIF('1.1 FY2016'!$G$5:$G$61,'2.1 Database'!$B29,'1.1 FY2016'!$E$5:$E$61)</f>
        <v>57.221999999999994</v>
      </c>
      <c r="G29" s="2">
        <f>-SUMIF('1.2 FY2017'!$G:$G,'2.1 Database'!B29,'1.2 FY2017'!$E:$E)</f>
        <v>-9793.84</v>
      </c>
      <c r="H29" s="2">
        <f>-SUMIF('1.3 FY2018'!$G$5:$G$78,'2.1 Database'!$B29,'1.3 FY2018'!$E$5:$E$78)</f>
        <v>15872.001999999999</v>
      </c>
      <c r="I29" s="2" t="s">
        <v>75</v>
      </c>
    </row>
    <row r="30" spans="2:9" x14ac:dyDescent="0.2">
      <c r="B30" s="2" t="s">
        <v>146</v>
      </c>
      <c r="C30" s="2" t="str">
        <f>INDEX('1.1 FY2016'!B$5:B$61, MATCH('2.1 Database'!$B30,'1.1 FY2016'!$G$5:$G$61,0))</f>
        <v>Marketing expenses</v>
      </c>
      <c r="D30" s="2">
        <f>INDEX('1.1 FY2016'!C$5:C$61, MATCH('2.1 Database'!$B30,'1.1 FY2016'!$G$5:$G$61,0))</f>
        <v>111111</v>
      </c>
      <c r="E30" s="2" t="str">
        <f>INDEX('1.1 FY2016'!D$5:D$61, MATCH('2.1 Database'!$B30,'1.1 FY2016'!$G$5:$G$61,0))</f>
        <v>External</v>
      </c>
      <c r="F30" s="2">
        <f>-SUMIF('1.1 FY2016'!$G$5:$G$61,'2.1 Database'!$B30,'1.1 FY2016'!$E$5:$E$61)</f>
        <v>-22314.879999999997</v>
      </c>
      <c r="G30" s="2">
        <f>-SUMIF('1.2 FY2017'!$G:$G,'2.1 Database'!B30,'1.2 FY2017'!$E:$E)</f>
        <v>-65947.7</v>
      </c>
      <c r="H30" s="2">
        <f>-SUMIF('1.3 FY2018'!$G$5:$G$78,'2.1 Database'!$B30,'1.3 FY2018'!$E$5:$E$78)</f>
        <v>-57.317999999999998</v>
      </c>
      <c r="I30" s="2" t="s">
        <v>231</v>
      </c>
    </row>
    <row r="31" spans="2:9" x14ac:dyDescent="0.2">
      <c r="B31" s="2" t="s">
        <v>147</v>
      </c>
      <c r="C31" s="2" t="str">
        <f>INDEX('1.1 FY2016'!B$5:B$61, MATCH('2.1 Database'!$B31,'1.1 FY2016'!$G$5:$G$61,0))</f>
        <v>Software&amp;IT</v>
      </c>
      <c r="D31" s="2">
        <f>INDEX('1.1 FY2016'!C$5:C$61, MATCH('2.1 Database'!$B31,'1.1 FY2016'!$G$5:$G$61,0))</f>
        <v>88</v>
      </c>
      <c r="E31" s="2" t="str">
        <f>INDEX('1.1 FY2016'!D$5:D$61, MATCH('2.1 Database'!$B31,'1.1 FY2016'!$G$5:$G$61,0))</f>
        <v>Generco Ltd</v>
      </c>
      <c r="F31" s="2">
        <f>-SUMIF('1.1 FY2016'!$G$5:$G$61,'2.1 Database'!$B31,'1.1 FY2016'!$E$5:$E$61)</f>
        <v>-204000</v>
      </c>
      <c r="G31" s="2">
        <f>-SUMIF('1.2 FY2017'!$G:$G,'2.1 Database'!B31,'1.2 FY2017'!$E:$E)</f>
        <v>0</v>
      </c>
      <c r="H31" s="2">
        <f>-SUMIF('1.3 FY2018'!$G$5:$G$78,'2.1 Database'!$B31,'1.3 FY2018'!$E$5:$E$78)</f>
        <v>0</v>
      </c>
      <c r="I31" s="2" t="s">
        <v>231</v>
      </c>
    </row>
    <row r="32" spans="2:9" x14ac:dyDescent="0.2">
      <c r="B32" s="2" t="s">
        <v>148</v>
      </c>
      <c r="C32" s="2" t="str">
        <f>INDEX('1.1 FY2016'!B$5:B$61, MATCH('2.1 Database'!$B32,'1.1 FY2016'!$G$5:$G$61,0))</f>
        <v>Software&amp;IT</v>
      </c>
      <c r="D32" s="2">
        <f>INDEX('1.1 FY2016'!C$5:C$61, MATCH('2.1 Database'!$B32,'1.1 FY2016'!$G$5:$G$61,0))</f>
        <v>111111</v>
      </c>
      <c r="E32" s="2" t="str">
        <f>INDEX('1.1 FY2016'!D$5:D$61, MATCH('2.1 Database'!$B32,'1.1 FY2016'!$G$5:$G$61,0))</f>
        <v>External</v>
      </c>
      <c r="F32" s="2">
        <f>-SUMIF('1.1 FY2016'!$G$5:$G$61,'2.1 Database'!$B32,'1.1 FY2016'!$E$5:$E$61)</f>
        <v>-138.41399999999999</v>
      </c>
      <c r="G32" s="2">
        <f>-SUMIF('1.2 FY2017'!$G:$G,'2.1 Database'!B32,'1.2 FY2017'!$E:$E)</f>
        <v>-5138.91</v>
      </c>
      <c r="H32" s="2">
        <f>-SUMIF('1.3 FY2018'!$G$5:$G$78,'2.1 Database'!$B32,'1.3 FY2018'!$E$5:$E$78)</f>
        <v>-19198.66</v>
      </c>
      <c r="I32" s="2" t="s">
        <v>231</v>
      </c>
    </row>
    <row r="33" spans="2:9" x14ac:dyDescent="0.2">
      <c r="B33" s="2" t="s">
        <v>149</v>
      </c>
      <c r="C33" s="2" t="str">
        <f>INDEX('1.1 FY2016'!B$5:B$61, MATCH('2.1 Database'!$B33,'1.1 FY2016'!$G$5:$G$61,0))</f>
        <v>Leasings</v>
      </c>
      <c r="D33" s="2">
        <f>INDEX('1.1 FY2016'!C$5:C$61, MATCH('2.1 Database'!$B33,'1.1 FY2016'!$G$5:$G$61,0))</f>
        <v>111111</v>
      </c>
      <c r="E33" s="2" t="str">
        <f>INDEX('1.1 FY2016'!D$5:D$61, MATCH('2.1 Database'!$B33,'1.1 FY2016'!$G$5:$G$61,0))</f>
        <v>External</v>
      </c>
      <c r="F33" s="2">
        <f>-SUMIF('1.1 FY2016'!$G$5:$G$61,'2.1 Database'!$B33,'1.1 FY2016'!$E$5:$E$61)</f>
        <v>-1127445.872</v>
      </c>
      <c r="G33" s="2">
        <f>-SUMIF('1.2 FY2017'!$G:$G,'2.1 Database'!B33,'1.2 FY2017'!$E:$E)</f>
        <v>-1055381.4750000001</v>
      </c>
      <c r="H33" s="2">
        <f>-SUMIF('1.3 FY2018'!$G$5:$G$78,'2.1 Database'!$B33,'1.3 FY2018'!$E$5:$E$78)</f>
        <v>172933.44899999999</v>
      </c>
      <c r="I33" s="2" t="s">
        <v>234</v>
      </c>
    </row>
    <row r="34" spans="2:9" x14ac:dyDescent="0.2">
      <c r="B34" s="2" t="s">
        <v>150</v>
      </c>
      <c r="C34" s="2" t="str">
        <f>INDEX('1.1 FY2016'!B$5:B$61, MATCH('2.1 Database'!$B34,'1.1 FY2016'!$G$5:$G$61,0))</f>
        <v>Service expenses</v>
      </c>
      <c r="D34" s="2" t="str">
        <f>INDEX('1.1 FY2016'!C$5:C$61, MATCH('2.1 Database'!$B34,'1.1 FY2016'!$G$5:$G$61,0))</f>
        <v>43</v>
      </c>
      <c r="E34" s="2" t="str">
        <f>INDEX('1.1 FY2016'!D$5:D$61, MATCH('2.1 Database'!$B34,'1.1 FY2016'!$G$5:$G$61,0))</f>
        <v>Greeny France SL</v>
      </c>
      <c r="F34" s="2">
        <f>-SUMIF('1.1 FY2016'!$G$5:$G$61,'2.1 Database'!$B34,'1.1 FY2016'!$E$5:$E$61)</f>
        <v>-133722</v>
      </c>
      <c r="G34" s="2">
        <f>-SUMIF('1.2 FY2017'!$G:$G,'2.1 Database'!B34,'1.2 FY2017'!$E:$E)</f>
        <v>0</v>
      </c>
      <c r="H34" s="2">
        <f>-SUMIF('1.3 FY2018'!$G$5:$G$78,'2.1 Database'!$B34,'1.3 FY2018'!$E$5:$E$78)</f>
        <v>0</v>
      </c>
      <c r="I34" s="2" t="s">
        <v>235</v>
      </c>
    </row>
    <row r="35" spans="2:9" x14ac:dyDescent="0.2">
      <c r="B35" s="2" t="s">
        <v>151</v>
      </c>
      <c r="C35" s="2" t="str">
        <f>INDEX('1.1 FY2016'!B$5:B$61, MATCH('2.1 Database'!$B35,'1.1 FY2016'!$G$5:$G$61,0))</f>
        <v>Service expenses</v>
      </c>
      <c r="D35" s="2" t="str">
        <f>INDEX('1.1 FY2016'!C$5:C$61, MATCH('2.1 Database'!$B35,'1.1 FY2016'!$G$5:$G$61,0))</f>
        <v>2240</v>
      </c>
      <c r="E35" s="2" t="str">
        <f>INDEX('1.1 FY2016'!D$5:D$61, MATCH('2.1 Database'!$B35,'1.1 FY2016'!$G$5:$G$61,0))</f>
        <v>Greeny Germany GmbH</v>
      </c>
      <c r="F35" s="2">
        <f>-SUMIF('1.1 FY2016'!$G$5:$G$61,'2.1 Database'!$B35,'1.1 FY2016'!$E$5:$E$61)</f>
        <v>-328061.886</v>
      </c>
      <c r="G35" s="2">
        <f>-SUMIF('1.2 FY2017'!$G:$G,'2.1 Database'!B35,'1.2 FY2017'!$E:$E)</f>
        <v>-430845.34499999997</v>
      </c>
      <c r="H35" s="2">
        <f>-SUMIF('1.3 FY2018'!$G$5:$G$78,'2.1 Database'!$B35,'1.3 FY2018'!$E$5:$E$78)</f>
        <v>0</v>
      </c>
      <c r="I35" s="2" t="s">
        <v>235</v>
      </c>
    </row>
    <row r="36" spans="2:9" x14ac:dyDescent="0.2">
      <c r="B36" s="2" t="s">
        <v>152</v>
      </c>
      <c r="C36" s="2" t="str">
        <f>INDEX('1.1 FY2016'!B$5:B$61, MATCH('2.1 Database'!$B36,'1.1 FY2016'!$G$5:$G$61,0))</f>
        <v>Service expenses</v>
      </c>
      <c r="D36" s="2">
        <f>INDEX('1.1 FY2016'!C$5:C$61, MATCH('2.1 Database'!$B36,'1.1 FY2016'!$G$5:$G$61,0))</f>
        <v>111111</v>
      </c>
      <c r="E36" s="2" t="str">
        <f>INDEX('1.1 FY2016'!D$5:D$61, MATCH('2.1 Database'!$B36,'1.1 FY2016'!$G$5:$G$61,0))</f>
        <v>External</v>
      </c>
      <c r="F36" s="2">
        <f>-SUMIF('1.1 FY2016'!$G$5:$G$61,'2.1 Database'!$B36,'1.1 FY2016'!$E$5:$E$61)</f>
        <v>-2081304.3219999997</v>
      </c>
      <c r="G36" s="2">
        <f>-SUMIF('1.2 FY2017'!$G:$G,'2.1 Database'!B36,'1.2 FY2017'!$E:$E)</f>
        <v>-1130021</v>
      </c>
      <c r="H36" s="2">
        <f>-SUMIF('1.3 FY2018'!$G$5:$G$78,'2.1 Database'!$B36,'1.3 FY2018'!$E$5:$E$78)</f>
        <v>-1481408.47</v>
      </c>
      <c r="I36" s="2" t="s">
        <v>235</v>
      </c>
    </row>
    <row r="37" spans="2:9" x14ac:dyDescent="0.2">
      <c r="B37" s="2" t="s">
        <v>153</v>
      </c>
      <c r="C37" s="2" t="str">
        <f>INDEX('1.1 FY2016'!B$5:B$61, MATCH('2.1 Database'!$B37,'1.1 FY2016'!$G$5:$G$61,0))</f>
        <v>Charges and contributions</v>
      </c>
      <c r="D37" s="2">
        <f>INDEX('1.1 FY2016'!C$5:C$61, MATCH('2.1 Database'!$B37,'1.1 FY2016'!$G$5:$G$61,0))</f>
        <v>111111</v>
      </c>
      <c r="E37" s="2" t="str">
        <f>INDEX('1.1 FY2016'!D$5:D$61, MATCH('2.1 Database'!$B37,'1.1 FY2016'!$G$5:$G$61,0))</f>
        <v>External</v>
      </c>
      <c r="F37" s="2">
        <f>-SUMIF('1.1 FY2016'!$G$5:$G$61,'2.1 Database'!$B37,'1.1 FY2016'!$E$5:$E$61)</f>
        <v>-33410.031999999999</v>
      </c>
      <c r="G37" s="2">
        <f>-SUMIF('1.2 FY2017'!$G:$G,'2.1 Database'!B37,'1.2 FY2017'!$E:$E)</f>
        <v>-7293.5450000000001</v>
      </c>
      <c r="H37" s="2">
        <f>-SUMIF('1.3 FY2018'!$G$5:$G$78,'2.1 Database'!$B37,'1.3 FY2018'!$E$5:$E$78)</f>
        <v>-40048.799999999996</v>
      </c>
      <c r="I37" s="2" t="s">
        <v>231</v>
      </c>
    </row>
    <row r="38" spans="2:9" x14ac:dyDescent="0.2">
      <c r="B38" s="2" t="s">
        <v>154</v>
      </c>
      <c r="C38" s="2" t="str">
        <f>INDEX('1.1 FY2016'!B$5:B$61, MATCH('2.1 Database'!$B38,'1.1 FY2016'!$G$5:$G$61,0))</f>
        <v>Insurance expenses</v>
      </c>
      <c r="D38" s="2">
        <f>INDEX('1.1 FY2016'!C$5:C$61, MATCH('2.1 Database'!$B38,'1.1 FY2016'!$G$5:$G$61,0))</f>
        <v>111111</v>
      </c>
      <c r="E38" s="2" t="str">
        <f>INDEX('1.1 FY2016'!D$5:D$61, MATCH('2.1 Database'!$B38,'1.1 FY2016'!$G$5:$G$61,0))</f>
        <v>External</v>
      </c>
      <c r="F38" s="2">
        <f>-SUMIF('1.1 FY2016'!$G$5:$G$61,'2.1 Database'!$B38,'1.1 FY2016'!$E$5:$E$61)</f>
        <v>-213090.85199999998</v>
      </c>
      <c r="G38" s="2">
        <f>-SUMIF('1.2 FY2017'!$G:$G,'2.1 Database'!B38,'1.2 FY2017'!$E:$E)</f>
        <v>-48468.665000000001</v>
      </c>
      <c r="H38" s="2">
        <f>-SUMIF('1.3 FY2018'!$G$5:$G$78,'2.1 Database'!$B38,'1.3 FY2018'!$E$5:$E$78)</f>
        <v>-64039.82699999999</v>
      </c>
      <c r="I38" s="2" t="s">
        <v>231</v>
      </c>
    </row>
    <row r="39" spans="2:9" x14ac:dyDescent="0.2">
      <c r="B39" s="2" t="s">
        <v>155</v>
      </c>
      <c r="C39" s="2" t="str">
        <f>INDEX('1.1 FY2016'!B$5:B$61, MATCH('2.1 Database'!$B39,'1.1 FY2016'!$G$5:$G$61,0))</f>
        <v>Travel expenses</v>
      </c>
      <c r="D39" s="2">
        <f>INDEX('1.1 FY2016'!C$5:C$61, MATCH('2.1 Database'!$B39,'1.1 FY2016'!$G$5:$G$61,0))</f>
        <v>111111</v>
      </c>
      <c r="E39" s="2" t="str">
        <f>INDEX('1.1 FY2016'!D$5:D$61, MATCH('2.1 Database'!$B39,'1.1 FY2016'!$G$5:$G$61,0))</f>
        <v>External</v>
      </c>
      <c r="F39" s="2">
        <f>-SUMIF('1.1 FY2016'!$G$5:$G$61,'2.1 Database'!$B39,'1.1 FY2016'!$E$5:$E$61)</f>
        <v>-1813525.004</v>
      </c>
      <c r="G39" s="2">
        <f>-SUMIF('1.2 FY2017'!$G:$G,'2.1 Database'!B39,'1.2 FY2017'!$E:$E)</f>
        <v>-2393259.19</v>
      </c>
      <c r="H39" s="2">
        <f>-SUMIF('1.3 FY2018'!$G$5:$G$78,'2.1 Database'!$B39,'1.3 FY2018'!$E$5:$E$78)</f>
        <v>-2514431.8869999996</v>
      </c>
      <c r="I39" s="2" t="s">
        <v>236</v>
      </c>
    </row>
    <row r="40" spans="2:9" x14ac:dyDescent="0.2">
      <c r="B40" s="2" t="s">
        <v>156</v>
      </c>
      <c r="C40" s="2" t="str">
        <f>INDEX('1.1 FY2016'!B$5:B$61, MATCH('2.1 Database'!$B40,'1.1 FY2016'!$G$5:$G$61,0))</f>
        <v>Utility expenses</v>
      </c>
      <c r="D40" s="2">
        <f>INDEX('1.1 FY2016'!C$5:C$61, MATCH('2.1 Database'!$B40,'1.1 FY2016'!$G$5:$G$61,0))</f>
        <v>111111</v>
      </c>
      <c r="E40" s="2" t="str">
        <f>INDEX('1.1 FY2016'!D$5:D$61, MATCH('2.1 Database'!$B40,'1.1 FY2016'!$G$5:$G$61,0))</f>
        <v>External</v>
      </c>
      <c r="F40" s="2">
        <f>-SUMIF('1.1 FY2016'!$G$5:$G$61,'2.1 Database'!$B40,'1.1 FY2016'!$E$5:$E$61)</f>
        <v>-5552.2</v>
      </c>
      <c r="G40" s="2">
        <f>-SUMIF('1.2 FY2017'!$G:$G,'2.1 Database'!B40,'1.2 FY2017'!$E:$E)</f>
        <v>-23069.654999999999</v>
      </c>
      <c r="H40" s="2">
        <f>-SUMIF('1.3 FY2018'!$G$5:$G$78,'2.1 Database'!$B40,'1.3 FY2018'!$E$5:$E$78)</f>
        <v>-4194.2999999999993</v>
      </c>
      <c r="I40" s="2" t="s">
        <v>231</v>
      </c>
    </row>
    <row r="41" spans="2:9" x14ac:dyDescent="0.2">
      <c r="B41" s="2" t="s">
        <v>157</v>
      </c>
      <c r="C41" s="2" t="str">
        <f>INDEX('1.1 FY2016'!B$5:B$61, MATCH('2.1 Database'!$B41,'1.1 FY2016'!$G$5:$G$61,0))</f>
        <v>Legal expenses</v>
      </c>
      <c r="D41" s="2">
        <f>INDEX('1.1 FY2016'!C$5:C$61, MATCH('2.1 Database'!$B41,'1.1 FY2016'!$G$5:$G$61,0))</f>
        <v>111111</v>
      </c>
      <c r="E41" s="2" t="str">
        <f>INDEX('1.1 FY2016'!D$5:D$61, MATCH('2.1 Database'!$B41,'1.1 FY2016'!$G$5:$G$61,0))</f>
        <v>External</v>
      </c>
      <c r="F41" s="2">
        <f>-SUMIF('1.1 FY2016'!$G$5:$G$61,'2.1 Database'!$B41,'1.1 FY2016'!$E$5:$E$61)</f>
        <v>-43868.975999999995</v>
      </c>
      <c r="G41" s="2">
        <f>-SUMIF('1.2 FY2017'!$G:$G,'2.1 Database'!B41,'1.2 FY2017'!$E:$E)</f>
        <v>-208366.935</v>
      </c>
      <c r="H41" s="2">
        <f>-SUMIF('1.3 FY2018'!$G$5:$G$78,'2.1 Database'!$B41,'1.3 FY2018'!$E$5:$E$78)</f>
        <v>-106525.708</v>
      </c>
      <c r="I41" s="2" t="s">
        <v>231</v>
      </c>
    </row>
    <row r="42" spans="2:9" x14ac:dyDescent="0.2">
      <c r="B42" s="2" t="s">
        <v>158</v>
      </c>
      <c r="C42" s="2" t="str">
        <f>INDEX('1.1 FY2016'!B$5:B$61, MATCH('2.1 Database'!$B42,'1.1 FY2016'!$G$5:$G$61,0))</f>
        <v>Misc costs</v>
      </c>
      <c r="D42" s="2">
        <f>INDEX('1.1 FY2016'!C$5:C$61, MATCH('2.1 Database'!$B42,'1.1 FY2016'!$G$5:$G$61,0))</f>
        <v>111101</v>
      </c>
      <c r="E42" s="2" t="str">
        <f>INDEX('1.1 FY2016'!D$5:D$61, MATCH('2.1 Database'!$B42,'1.1 FY2016'!$G$5:$G$61,0))</f>
        <v>Not assigned</v>
      </c>
      <c r="F42" s="2">
        <f>-SUMIF('1.1 FY2016'!$G$5:$G$61,'2.1 Database'!$B42,'1.1 FY2016'!$E$5:$E$61)</f>
        <v>-10934.671999999999</v>
      </c>
      <c r="G42" s="2">
        <f>-SUMIF('1.2 FY2017'!$G:$G,'2.1 Database'!B42,'1.2 FY2017'!$E:$E)</f>
        <v>-20323.309999999998</v>
      </c>
      <c r="H42" s="2">
        <f>-SUMIF('1.3 FY2018'!$G$5:$G$78,'2.1 Database'!$B42,'1.3 FY2018'!$E$5:$E$78)</f>
        <v>-109811.284</v>
      </c>
      <c r="I42" s="2" t="s">
        <v>231</v>
      </c>
    </row>
    <row r="43" spans="2:9" x14ac:dyDescent="0.2">
      <c r="B43" s="2" t="s">
        <v>159</v>
      </c>
      <c r="C43" s="2" t="str">
        <f>INDEX('1.1 FY2016'!B$5:B$61, MATCH('2.1 Database'!$B43,'1.1 FY2016'!$G$5:$G$61,0))</f>
        <v>Consulting fees</v>
      </c>
      <c r="D43" s="2">
        <f>INDEX('1.1 FY2016'!C$5:C$61, MATCH('2.1 Database'!$B43,'1.1 FY2016'!$G$5:$G$61,0))</f>
        <v>111111</v>
      </c>
      <c r="E43" s="2" t="str">
        <f>INDEX('1.1 FY2016'!D$5:D$61, MATCH('2.1 Database'!$B43,'1.1 FY2016'!$G$5:$G$61,0))</f>
        <v>External</v>
      </c>
      <c r="F43" s="2">
        <f>-SUMIF('1.1 FY2016'!$G$5:$G$61,'2.1 Database'!$B43,'1.1 FY2016'!$E$5:$E$61)</f>
        <v>-20400</v>
      </c>
      <c r="G43" s="2">
        <f>-SUMIF('1.2 FY2017'!$G:$G,'2.1 Database'!B43,'1.2 FY2017'!$E:$E)</f>
        <v>-169489</v>
      </c>
      <c r="H43" s="2">
        <f>-SUMIF('1.3 FY2018'!$G$5:$G$78,'2.1 Database'!$B43,'1.3 FY2018'!$E$5:$E$78)</f>
        <v>-61111.483999999997</v>
      </c>
      <c r="I43" s="2" t="s">
        <v>231</v>
      </c>
    </row>
    <row r="44" spans="2:9" x14ac:dyDescent="0.2">
      <c r="B44" s="2" t="s">
        <v>160</v>
      </c>
      <c r="C44" s="2" t="str">
        <f>INDEX('1.1 FY2016'!B$5:B$61, MATCH('2.1 Database'!$B44,'1.1 FY2016'!$G$5:$G$61,0))</f>
        <v>Misc extraordinary expenses</v>
      </c>
      <c r="D44" s="2">
        <f>INDEX('1.1 FY2016'!C$5:C$61, MATCH('2.1 Database'!$B44,'1.1 FY2016'!$G$5:$G$61,0))</f>
        <v>105</v>
      </c>
      <c r="E44" s="2" t="str">
        <f>INDEX('1.1 FY2016'!D$5:D$61, MATCH('2.1 Database'!$B44,'1.1 FY2016'!$G$5:$G$61,0))</f>
        <v>Generco Healthcare Ltd</v>
      </c>
      <c r="F44" s="2">
        <f>-SUMIF('1.1 FY2016'!$G$5:$G$61,'2.1 Database'!$B44,'1.1 FY2016'!$E$5:$E$61)</f>
        <v>0</v>
      </c>
      <c r="G44" s="2">
        <f>-SUMIF('1.2 FY2017'!$G:$G,'2.1 Database'!B44,'1.2 FY2017'!$E:$E)</f>
        <v>0</v>
      </c>
      <c r="H44" s="2">
        <f>-SUMIF('1.3 FY2018'!$G$5:$G$78,'2.1 Database'!$B44,'1.3 FY2018'!$E$5:$E$78)</f>
        <v>-1684415.2999999998</v>
      </c>
      <c r="I44" s="2" t="s">
        <v>231</v>
      </c>
    </row>
    <row r="45" spans="2:9" x14ac:dyDescent="0.2">
      <c r="B45" s="2" t="s">
        <v>161</v>
      </c>
      <c r="C45" s="2" t="str">
        <f>INDEX('1.1 FY2016'!B$5:B$61, MATCH('2.1 Database'!$B45,'1.1 FY2016'!$G$5:$G$61,0))</f>
        <v>Misc extraordinary expenses</v>
      </c>
      <c r="D45" s="2">
        <f>INDEX('1.1 FY2016'!C$5:C$61, MATCH('2.1 Database'!$B45,'1.1 FY2016'!$G$5:$G$61,0))</f>
        <v>111111</v>
      </c>
      <c r="E45" s="2" t="str">
        <f>INDEX('1.1 FY2016'!D$5:D$61, MATCH('2.1 Database'!$B45,'1.1 FY2016'!$G$5:$G$61,0))</f>
        <v>External</v>
      </c>
      <c r="F45" s="2">
        <f>-SUMIF('1.1 FY2016'!$G$5:$G$61,'2.1 Database'!$B45,'1.1 FY2016'!$E$5:$E$61)</f>
        <v>-563918.152</v>
      </c>
      <c r="G45" s="2">
        <f>-SUMIF('1.2 FY2017'!$G:$G,'2.1 Database'!B45,'1.2 FY2017'!$E:$E)</f>
        <v>-638869.13</v>
      </c>
      <c r="H45" s="2">
        <f>-SUMIF('1.3 FY2018'!$G$5:$G$78,'2.1 Database'!$B45,'1.3 FY2018'!$E$5:$E$78)</f>
        <v>-575626.2649999999</v>
      </c>
      <c r="I45" s="2" t="s">
        <v>231</v>
      </c>
    </row>
    <row r="46" spans="2:9" x14ac:dyDescent="0.2">
      <c r="B46" s="2" t="s">
        <v>162</v>
      </c>
      <c r="C46" s="2" t="str">
        <f>INDEX('1.1 FY2016'!B$5:B$61, MATCH('2.1 Database'!$B46,'1.1 FY2016'!$G$5:$G$61,0))</f>
        <v>Difference from eliminations</v>
      </c>
      <c r="D46" s="2">
        <f>INDEX('1.1 FY2016'!C$5:C$61, MATCH('2.1 Database'!$B46,'1.1 FY2016'!$G$5:$G$61,0))</f>
        <v>1009</v>
      </c>
      <c r="E46" s="2" t="str">
        <f>INDEX('1.1 FY2016'!D$5:D$61, MATCH('2.1 Database'!$B46,'1.1 FY2016'!$G$5:$G$61,0))</f>
        <v>Green Ventures Ltd</v>
      </c>
      <c r="F46" s="2">
        <f>-SUMIF('1.1 FY2016'!$G$5:$G$61,'2.1 Database'!$B46,'1.1 FY2016'!$E$5:$E$61)</f>
        <v>0</v>
      </c>
      <c r="G46" s="2">
        <f>-SUMIF('1.2 FY2017'!$G:$G,'2.1 Database'!B46,'1.2 FY2017'!$E:$E)</f>
        <v>0</v>
      </c>
      <c r="H46" s="2">
        <f>-SUMIF('1.3 FY2018'!$G$5:$G$78,'2.1 Database'!$B46,'1.3 FY2018'!$E$5:$E$78)</f>
        <v>0</v>
      </c>
    </row>
    <row r="47" spans="2:9" x14ac:dyDescent="0.2">
      <c r="B47" s="2" t="s">
        <v>163</v>
      </c>
      <c r="C47" s="2" t="str">
        <f>INDEX('1.1 FY2016'!B$5:B$61, MATCH('2.1 Database'!$B47,'1.1 FY2016'!$G$5:$G$61,0))</f>
        <v>Difference from eliminations</v>
      </c>
      <c r="D47" s="2">
        <f>INDEX('1.1 FY2016'!C$5:C$61, MATCH('2.1 Database'!$B47,'1.1 FY2016'!$G$5:$G$61,0))</f>
        <v>1007</v>
      </c>
      <c r="E47" s="2" t="str">
        <f>INDEX('1.1 FY2016'!D$5:D$61, MATCH('2.1 Database'!$B47,'1.1 FY2016'!$G$5:$G$61,0))</f>
        <v>Generco Sunshine JSC</v>
      </c>
      <c r="F47" s="2">
        <f>-SUMIF('1.1 FY2016'!$G$5:$G$61,'2.1 Database'!$B47,'1.1 FY2016'!$E$5:$E$61)</f>
        <v>0</v>
      </c>
      <c r="G47" s="2">
        <f>-SUMIF('1.2 FY2017'!$G:$G,'2.1 Database'!B47,'1.2 FY2017'!$E:$E)</f>
        <v>0</v>
      </c>
      <c r="H47" s="2">
        <f>-SUMIF('1.3 FY2018'!$G$5:$G$78,'2.1 Database'!$B47,'1.3 FY2018'!$E$5:$E$78)</f>
        <v>0</v>
      </c>
    </row>
    <row r="48" spans="2:9" x14ac:dyDescent="0.2">
      <c r="B48" s="2" t="s">
        <v>164</v>
      </c>
      <c r="C48" s="2" t="str">
        <f>INDEX('1.1 FY2016'!B$5:B$61, MATCH('2.1 Database'!$B48,'1.1 FY2016'!$G$5:$G$61,0))</f>
        <v>Difference from eliminations</v>
      </c>
      <c r="D48" s="2">
        <f>INDEX('1.1 FY2016'!C$5:C$61, MATCH('2.1 Database'!$B48,'1.1 FY2016'!$G$5:$G$61,0))</f>
        <v>1008</v>
      </c>
      <c r="E48" s="2" t="str">
        <f>INDEX('1.1 FY2016'!D$5:D$61, MATCH('2.1 Database'!$B48,'1.1 FY2016'!$G$5:$G$61,0))</f>
        <v>Greenco Ltd</v>
      </c>
      <c r="F48" s="2">
        <f>-SUMIF('1.1 FY2016'!$G$5:$G$61,'2.1 Database'!$B48,'1.1 FY2016'!$E$5:$E$61)</f>
        <v>0</v>
      </c>
      <c r="G48" s="2">
        <f>-SUMIF('1.2 FY2017'!$G:$G,'2.1 Database'!B48,'1.2 FY2017'!$E:$E)</f>
        <v>0</v>
      </c>
      <c r="H48" s="2">
        <f>-SUMIF('1.3 FY2018'!$G$5:$G$78,'2.1 Database'!$B48,'1.3 FY2018'!$E$5:$E$78)</f>
        <v>0</v>
      </c>
    </row>
    <row r="49" spans="2:9" x14ac:dyDescent="0.2">
      <c r="B49" s="2" t="s">
        <v>165</v>
      </c>
      <c r="C49" s="2" t="str">
        <f>INDEX('1.1 FY2016'!B$5:B$61, MATCH('2.1 Database'!$B49,'1.1 FY2016'!$G$5:$G$61,0))</f>
        <v>Interest income</v>
      </c>
      <c r="D49" s="2">
        <f>INDEX('1.1 FY2016'!C$5:C$61, MATCH('2.1 Database'!$B49,'1.1 FY2016'!$G$5:$G$61,0))</f>
        <v>1009</v>
      </c>
      <c r="E49" s="2" t="str">
        <f>INDEX('1.1 FY2016'!D$5:D$61, MATCH('2.1 Database'!$B49,'1.1 FY2016'!$G$5:$G$61,0))</f>
        <v>Green Ventures Ltd</v>
      </c>
      <c r="F49" s="2">
        <f>-SUMIF('1.1 FY2016'!$G$5:$G$61,'2.1 Database'!$B49,'1.1 FY2016'!$E$5:$E$61)</f>
        <v>0</v>
      </c>
      <c r="G49" s="2">
        <f>-SUMIF('1.2 FY2017'!$G:$G,'2.1 Database'!B49,'1.2 FY2017'!$E:$E)</f>
        <v>0</v>
      </c>
      <c r="H49" s="2">
        <f>-SUMIF('1.3 FY2018'!$G$5:$G$78,'2.1 Database'!$B49,'1.3 FY2018'!$E$5:$E$78)</f>
        <v>0</v>
      </c>
      <c r="I49" s="2" t="s">
        <v>237</v>
      </c>
    </row>
    <row r="50" spans="2:9" x14ac:dyDescent="0.2">
      <c r="B50" s="2" t="s">
        <v>166</v>
      </c>
      <c r="C50" s="2" t="str">
        <f>INDEX('1.1 FY2016'!B$5:B$61, MATCH('2.1 Database'!$B50,'1.1 FY2016'!$G$5:$G$61,0))</f>
        <v>Interest income</v>
      </c>
      <c r="D50" s="2">
        <f>INDEX('1.1 FY2016'!C$5:C$61, MATCH('2.1 Database'!$B50,'1.1 FY2016'!$G$5:$G$61,0))</f>
        <v>1007</v>
      </c>
      <c r="E50" s="2" t="str">
        <f>INDEX('1.1 FY2016'!D$5:D$61, MATCH('2.1 Database'!$B50,'1.1 FY2016'!$G$5:$G$61,0))</f>
        <v>Generco Sunshine JSC</v>
      </c>
      <c r="F50" s="2">
        <f>-SUMIF('1.1 FY2016'!$G$5:$G$61,'2.1 Database'!$B50,'1.1 FY2016'!$E$5:$E$61)</f>
        <v>0</v>
      </c>
      <c r="G50" s="2">
        <f>-SUMIF('1.2 FY2017'!$G:$G,'2.1 Database'!B50,'1.2 FY2017'!$E:$E)</f>
        <v>0</v>
      </c>
      <c r="H50" s="2">
        <f>-SUMIF('1.3 FY2018'!$G$5:$G$78,'2.1 Database'!$B50,'1.3 FY2018'!$E$5:$E$78)</f>
        <v>0</v>
      </c>
      <c r="I50" s="2" t="s">
        <v>237</v>
      </c>
    </row>
    <row r="51" spans="2:9" x14ac:dyDescent="0.2">
      <c r="B51" s="2" t="s">
        <v>167</v>
      </c>
      <c r="C51" s="2" t="str">
        <f>INDEX('1.1 FY2016'!B$5:B$61, MATCH('2.1 Database'!$B51,'1.1 FY2016'!$G$5:$G$61,0))</f>
        <v>Interest income</v>
      </c>
      <c r="D51" s="2">
        <f>INDEX('1.1 FY2016'!C$5:C$61, MATCH('2.1 Database'!$B51,'1.1 FY2016'!$G$5:$G$61,0))</f>
        <v>1008</v>
      </c>
      <c r="E51" s="2" t="str">
        <f>INDEX('1.1 FY2016'!D$5:D$61, MATCH('2.1 Database'!$B51,'1.1 FY2016'!$G$5:$G$61,0))</f>
        <v>Greenco Ltd</v>
      </c>
      <c r="F51" s="2">
        <f>-SUMIF('1.1 FY2016'!$G$5:$G$61,'2.1 Database'!$B51,'1.1 FY2016'!$E$5:$E$61)</f>
        <v>0</v>
      </c>
      <c r="G51" s="2">
        <f>-SUMIF('1.2 FY2017'!$G:$G,'2.1 Database'!B51,'1.2 FY2017'!$E:$E)</f>
        <v>0</v>
      </c>
      <c r="H51" s="2">
        <f>-SUMIF('1.3 FY2018'!$G$5:$G$78,'2.1 Database'!$B51,'1.3 FY2018'!$E$5:$E$78)</f>
        <v>0</v>
      </c>
      <c r="I51" s="2" t="s">
        <v>237</v>
      </c>
    </row>
    <row r="52" spans="2:9" x14ac:dyDescent="0.2">
      <c r="B52" s="2" t="s">
        <v>168</v>
      </c>
      <c r="C52" s="2" t="str">
        <f>INDEX('1.1 FY2016'!B$5:B$61, MATCH('2.1 Database'!$B52,'1.1 FY2016'!$G$5:$G$61,0))</f>
        <v>Interest income</v>
      </c>
      <c r="D52" s="2">
        <f>INDEX('1.1 FY2016'!C$5:C$61, MATCH('2.1 Database'!$B52,'1.1 FY2016'!$G$5:$G$61,0))</f>
        <v>1240</v>
      </c>
      <c r="E52" s="2" t="str">
        <f>INDEX('1.1 FY2016'!D$5:D$61, MATCH('2.1 Database'!$B52,'1.1 FY2016'!$G$5:$G$61,0))</f>
        <v xml:space="preserve">Generco UK </v>
      </c>
      <c r="F52" s="2">
        <f>-SUMIF('1.1 FY2016'!$G$5:$G$61,'2.1 Database'!$B52,'1.1 FY2016'!$E$5:$E$61)</f>
        <v>35810.228000000003</v>
      </c>
      <c r="G52" s="2">
        <f>-SUMIF('1.2 FY2017'!$G:$G,'2.1 Database'!B52,'1.2 FY2017'!$E:$E)</f>
        <v>34224.959999999999</v>
      </c>
      <c r="H52" s="2">
        <f>-SUMIF('1.3 FY2018'!$G$5:$G$78,'2.1 Database'!$B52,'1.3 FY2018'!$E$5:$E$78)</f>
        <v>0</v>
      </c>
      <c r="I52" s="2" t="s">
        <v>237</v>
      </c>
    </row>
    <row r="53" spans="2:9" x14ac:dyDescent="0.2">
      <c r="B53" s="2" t="s">
        <v>169</v>
      </c>
      <c r="C53" s="2" t="str">
        <f>INDEX('1.1 FY2016'!B$5:B$61, MATCH('2.1 Database'!$B53,'1.1 FY2016'!$G$5:$G$61,0))</f>
        <v>Interest income</v>
      </c>
      <c r="D53" s="2">
        <f>INDEX('1.1 FY2016'!C$5:C$61, MATCH('2.1 Database'!$B53,'1.1 FY2016'!$G$5:$G$61,0))</f>
        <v>111111</v>
      </c>
      <c r="E53" s="2" t="str">
        <f>INDEX('1.1 FY2016'!D$5:D$61, MATCH('2.1 Database'!$B53,'1.1 FY2016'!$G$5:$G$61,0))</f>
        <v>External</v>
      </c>
      <c r="F53" s="2">
        <f>-SUMIF('1.1 FY2016'!$G$5:$G$61,'2.1 Database'!$B53,'1.1 FY2016'!$E$5:$E$61)</f>
        <v>51927.417999999998</v>
      </c>
      <c r="G53" s="2">
        <f>-SUMIF('1.2 FY2017'!$G:$G,'2.1 Database'!B53,'1.2 FY2017'!$E:$E)</f>
        <v>2204.7199999999998</v>
      </c>
      <c r="H53" s="2">
        <f>-SUMIF('1.3 FY2018'!$G$5:$G$78,'2.1 Database'!$B53,'1.3 FY2018'!$E$5:$E$78)</f>
        <v>73809.511999999988</v>
      </c>
      <c r="I53" s="2" t="s">
        <v>237</v>
      </c>
    </row>
    <row r="54" spans="2:9" x14ac:dyDescent="0.2">
      <c r="B54" s="2" t="s">
        <v>170</v>
      </c>
      <c r="C54" s="2" t="str">
        <f>INDEX('1.1 FY2016'!B$5:B$61, MATCH('2.1 Database'!$B54,'1.1 FY2016'!$G$5:$G$61,0))</f>
        <v>Capitalized interest</v>
      </c>
      <c r="D54" s="2">
        <f>INDEX('1.1 FY2016'!C$5:C$61, MATCH('2.1 Database'!$B54,'1.1 FY2016'!$G$5:$G$61,0))</f>
        <v>111101</v>
      </c>
      <c r="E54" s="2" t="str">
        <f>INDEX('1.1 FY2016'!D$5:D$61, MATCH('2.1 Database'!$B54,'1.1 FY2016'!$G$5:$G$61,0))</f>
        <v>Not assigned</v>
      </c>
      <c r="F54" s="2">
        <f>-SUMIF('1.1 FY2016'!$G$5:$G$61,'2.1 Database'!$B54,'1.1 FY2016'!$E$5:$E$61)</f>
        <v>862270.63399999996</v>
      </c>
      <c r="G54" s="2">
        <f>-SUMIF('1.2 FY2017'!$G:$G,'2.1 Database'!B54,'1.2 FY2017'!$E:$E)</f>
        <v>0</v>
      </c>
      <c r="H54" s="2">
        <f>-SUMIF('1.3 FY2018'!$G$5:$G$78,'2.1 Database'!$B54,'1.3 FY2018'!$E$5:$E$78)</f>
        <v>0</v>
      </c>
      <c r="I54" s="2" t="s">
        <v>68</v>
      </c>
    </row>
    <row r="55" spans="2:9" x14ac:dyDescent="0.2">
      <c r="B55" s="2" t="s">
        <v>171</v>
      </c>
      <c r="C55" s="2" t="str">
        <f>INDEX('1.1 FY2016'!B$5:B$61, MATCH('2.1 Database'!$B55,'1.1 FY2016'!$G$5:$G$61,0))</f>
        <v>Non-recurring costs</v>
      </c>
      <c r="D55" s="2">
        <f>INDEX('1.1 FY2016'!C$5:C$61, MATCH('2.1 Database'!$B55,'1.1 FY2016'!$G$5:$G$61,0))</f>
        <v>111101</v>
      </c>
      <c r="E55" s="2" t="str">
        <f>INDEX('1.1 FY2016'!D$5:D$61, MATCH('2.1 Database'!$B55,'1.1 FY2016'!$G$5:$G$61,0))</f>
        <v>Not assigned</v>
      </c>
      <c r="F55" s="2">
        <f>-SUMIF('1.1 FY2016'!$G$5:$G$61,'2.1 Database'!$B55,'1.1 FY2016'!$E$5:$E$61)</f>
        <v>-22763</v>
      </c>
      <c r="G55" s="2">
        <f>-SUMIF('1.2 FY2017'!$G:$G,'2.1 Database'!B55,'1.2 FY2017'!$E:$E)</f>
        <v>-80617.179999999993</v>
      </c>
      <c r="H55" s="2">
        <f>-SUMIF('1.3 FY2018'!$G$5:$G$78,'2.1 Database'!$B55,'1.3 FY2018'!$E$5:$E$78)</f>
        <v>-7173.195999999999</v>
      </c>
      <c r="I55" s="2" t="s">
        <v>238</v>
      </c>
    </row>
    <row r="56" spans="2:9" x14ac:dyDescent="0.2">
      <c r="B56" s="2" t="s">
        <v>172</v>
      </c>
      <c r="C56" s="2" t="str">
        <f>INDEX('1.1 FY2016'!B$5:B$61, MATCH('2.1 Database'!$B56,'1.1 FY2016'!$G$5:$G$61,0))</f>
        <v>Interest expenses</v>
      </c>
      <c r="D56" s="2">
        <f>INDEX('1.1 FY2016'!C$5:C$61, MATCH('2.1 Database'!$B56,'1.1 FY2016'!$G$5:$G$61,0))</f>
        <v>88</v>
      </c>
      <c r="E56" s="2" t="str">
        <f>INDEX('1.1 FY2016'!D$5:D$61, MATCH('2.1 Database'!$B56,'1.1 FY2016'!$G$5:$G$61,0))</f>
        <v>Generco Ltd</v>
      </c>
      <c r="F56" s="2">
        <f>-SUMIF('1.1 FY2016'!$G$5:$G$61,'2.1 Database'!$B56,'1.1 FY2016'!$E$5:$E$61)</f>
        <v>-2930430.0120000001</v>
      </c>
      <c r="G56" s="2">
        <f>-SUMIF('1.2 FY2017'!$G:$G,'2.1 Database'!B56,'1.2 FY2017'!$E:$E)</f>
        <v>-2752704.22</v>
      </c>
      <c r="H56" s="2">
        <f>-SUMIF('1.3 FY2018'!$G$5:$G$78,'2.1 Database'!$B56,'1.3 FY2018'!$E$5:$E$78)</f>
        <v>-2324465.8859999999</v>
      </c>
      <c r="I56" s="2" t="s">
        <v>237</v>
      </c>
    </row>
    <row r="57" spans="2:9" x14ac:dyDescent="0.2">
      <c r="B57" s="2" t="s">
        <v>173</v>
      </c>
      <c r="C57" s="2" t="str">
        <f>INDEX('1.1 FY2016'!B$5:B$61, MATCH('2.1 Database'!$B57,'1.1 FY2016'!$G$5:$G$61,0))</f>
        <v>Current taxes</v>
      </c>
      <c r="D57" s="2">
        <f>INDEX('1.1 FY2016'!C$5:C$61, MATCH('2.1 Database'!$B57,'1.1 FY2016'!$G$5:$G$61,0))</f>
        <v>111101</v>
      </c>
      <c r="E57" s="2" t="str">
        <f>INDEX('1.1 FY2016'!D$5:D$61, MATCH('2.1 Database'!$B57,'1.1 FY2016'!$G$5:$G$61,0))</f>
        <v>Not assigned</v>
      </c>
      <c r="F57" s="2">
        <f>-SUMIF('1.1 FY2016'!$G$5:$G$61,'2.1 Database'!$B57,'1.1 FY2016'!$E$5:$E$61)</f>
        <v>49378.641999999993</v>
      </c>
      <c r="G57" s="2">
        <f>-SUMIF('1.2 FY2017'!$G:$G,'2.1 Database'!B57,'1.2 FY2017'!$E:$E)</f>
        <v>-496748.70000000007</v>
      </c>
      <c r="H57" s="2">
        <f>-SUMIF('1.3 FY2018'!$G$5:$G$78,'2.1 Database'!$B57,'1.3 FY2018'!$E$5:$E$78)</f>
        <v>-2558.1950000000002</v>
      </c>
      <c r="I57" s="2" t="s">
        <v>239</v>
      </c>
    </row>
    <row r="58" spans="2:9" x14ac:dyDescent="0.2">
      <c r="B58" s="2" t="s">
        <v>174</v>
      </c>
      <c r="C58" s="2" t="str">
        <f>INDEX('1.1 FY2016'!B$5:B$61, MATCH('2.1 Database'!$B58,'1.1 FY2016'!$G$5:$G$61,0))</f>
        <v>Regional taxes</v>
      </c>
      <c r="D58" s="2">
        <f>INDEX('1.1 FY2016'!C$5:C$61, MATCH('2.1 Database'!$B58,'1.1 FY2016'!$G$5:$G$61,0))</f>
        <v>111101</v>
      </c>
      <c r="E58" s="2" t="str">
        <f>INDEX('1.1 FY2016'!D$5:D$61, MATCH('2.1 Database'!$B58,'1.1 FY2016'!$G$5:$G$61,0))</f>
        <v>Not assigned</v>
      </c>
      <c r="F58" s="2">
        <f>-SUMIF('1.1 FY2016'!$G$5:$G$61,'2.1 Database'!$B58,'1.1 FY2016'!$E$5:$E$61)</f>
        <v>-516250.67</v>
      </c>
      <c r="G58" s="2">
        <f>-SUMIF('1.2 FY2017'!$G:$G,'2.1 Database'!B58,'1.2 FY2017'!$E:$E)</f>
        <v>-480872.96000000002</v>
      </c>
      <c r="H58" s="2">
        <f>-SUMIF('1.3 FY2018'!$G$5:$G$78,'2.1 Database'!$B58,'1.3 FY2018'!$E$5:$E$78)</f>
        <v>-522710.353</v>
      </c>
      <c r="I58" s="2" t="s">
        <v>239</v>
      </c>
    </row>
    <row r="59" spans="2:9" x14ac:dyDescent="0.2">
      <c r="B59" s="2" t="s">
        <v>175</v>
      </c>
      <c r="C59" s="2" t="str">
        <f>INDEX('1.1 FY2016'!B$5:B$61, MATCH('2.1 Database'!$B59,'1.1 FY2016'!$G$5:$G$61,0))</f>
        <v>Deferred taxes</v>
      </c>
      <c r="D59" s="2">
        <f>INDEX('1.1 FY2016'!C$5:C$61, MATCH('2.1 Database'!$B59,'1.1 FY2016'!$G$5:$G$61,0))</f>
        <v>111101</v>
      </c>
      <c r="E59" s="2" t="str">
        <f>INDEX('1.1 FY2016'!D$5:D$61, MATCH('2.1 Database'!$B59,'1.1 FY2016'!$G$5:$G$61,0))</f>
        <v>Not assigned</v>
      </c>
      <c r="F59" s="2">
        <f>-SUMIF('1.1 FY2016'!$G$5:$G$61,'2.1 Database'!$B59,'1.1 FY2016'!$E$5:$E$61)</f>
        <v>-21593.093999999997</v>
      </c>
      <c r="G59" s="2">
        <f>-SUMIF('1.2 FY2017'!$G:$G,'2.1 Database'!B59,'1.2 FY2017'!$E:$E)</f>
        <v>-6570.3050000000003</v>
      </c>
      <c r="H59" s="2">
        <f>-SUMIF('1.3 FY2018'!$G$5:$G$78,'2.1 Database'!$B59,'1.3 FY2018'!$E$5:$E$78)</f>
        <v>160303.52199999997</v>
      </c>
      <c r="I59" s="2" t="s">
        <v>239</v>
      </c>
    </row>
    <row r="60" spans="2:9" x14ac:dyDescent="0.2">
      <c r="B60" s="2" t="s">
        <v>176</v>
      </c>
      <c r="C60" s="2" t="str">
        <f>INDEX('1.1 FY2016'!B$5:B$61, MATCH('2.1 Database'!$B60,'1.1 FY2016'!$G$5:$G$61,0))</f>
        <v>Net income/(loss)</v>
      </c>
      <c r="D60" s="2">
        <f>INDEX('1.1 FY2016'!C$5:C$61, MATCH('2.1 Database'!$B60,'1.1 FY2016'!$G$5:$G$61,0))</f>
        <v>111101</v>
      </c>
      <c r="E60" s="2" t="str">
        <f>INDEX('1.1 FY2016'!D$5:D$61, MATCH('2.1 Database'!$B60,'1.1 FY2016'!$G$5:$G$61,0))</f>
        <v>Not assigned</v>
      </c>
      <c r="F60" s="2">
        <f>-SUMIF('1.1 FY2016'!$G$5:$G$61,'2.1 Database'!$B60,'1.1 FY2016'!$E$5:$E$61)</f>
        <v>2904117.9939999986</v>
      </c>
      <c r="G60" s="2">
        <f>-SUMIF('1.2 FY2017'!$G:$G,'2.1 Database'!B60,'1.2 FY2017'!$E:$E)</f>
        <v>0</v>
      </c>
      <c r="H60" s="2">
        <f>-SUMIF('1.3 FY2018'!$G$5:$G$78,'2.1 Database'!$B60,'1.3 FY2018'!$E$5:$E$78)</f>
        <v>0</v>
      </c>
      <c r="I60" s="2" t="s">
        <v>240</v>
      </c>
    </row>
    <row r="61" spans="2:9" x14ac:dyDescent="0.2">
      <c r="B61" s="2" t="s">
        <v>178</v>
      </c>
      <c r="C61" s="2" t="str">
        <f>INDEX('1.2 FY2017'!B$5:B$86, MATCH('2.1 Database'!$B61,'1.2 FY2017'!$G$5:$G$86,0))</f>
        <v>Core business revenues</v>
      </c>
      <c r="D61" s="2">
        <f>INDEX('1.2 FY2017'!C$5:C$86, MATCH('2.1 Database'!$B61,'1.2 FY2017'!$G$5:$G$86,0))</f>
        <v>105</v>
      </c>
      <c r="E61" s="2" t="str">
        <f>INDEX('1.2 FY2017'!D$5:D$86, MATCH('2.1 Database'!$B61,'1.2 FY2017'!$G$5:$G$86,0))</f>
        <v>Generco Healthcare Ltd</v>
      </c>
      <c r="F61" s="2">
        <f>-SUMIF('1.1 FY2016'!$G$5:$G$61,'2.1 Database'!$B61,'1.1 FY2016'!$E$5:$E$61)</f>
        <v>0</v>
      </c>
      <c r="G61" s="2">
        <f>-SUMIF('1.2 FY2017'!$G:$G,'2.1 Database'!B61,'1.2 FY2017'!$E:$E)</f>
        <v>355396.61499999999</v>
      </c>
      <c r="H61" s="2">
        <f>-SUMIF('1.3 FY2018'!$G$5:$G$78,'2.1 Database'!$B61,'1.3 FY2018'!$E$5:$E$78)</f>
        <v>616462.01899999997</v>
      </c>
      <c r="I61" s="2" t="s">
        <v>241</v>
      </c>
    </row>
    <row r="62" spans="2:9" x14ac:dyDescent="0.2">
      <c r="B62" s="2" t="s">
        <v>179</v>
      </c>
      <c r="C62" s="2" t="str">
        <f>INDEX('1.2 FY2017'!B$5:B$86, MATCH('2.1 Database'!$B62,'1.2 FY2017'!$G$5:$G$86,0))</f>
        <v>Capitalized costs</v>
      </c>
      <c r="D62" s="2" t="str">
        <f>INDEX('1.2 FY2017'!C$5:C$86, MATCH('2.1 Database'!$B62,'1.2 FY2017'!$G$5:$G$86,0))</f>
        <v>1086</v>
      </c>
      <c r="E62" s="2" t="str">
        <f>INDEX('1.2 FY2017'!D$5:D$86, MATCH('2.1 Database'!$B62,'1.2 FY2017'!$G$5:$G$86,0))</f>
        <v>G&amp;Resources Ltd</v>
      </c>
      <c r="F62" s="2">
        <f>-SUMIF('1.1 FY2016'!$G$5:$G$61,'2.1 Database'!$B62,'1.1 FY2016'!$E$5:$E$61)</f>
        <v>0</v>
      </c>
      <c r="G62" s="2">
        <f>-SUMIF('1.2 FY2017'!$G:$G,'2.1 Database'!B62,'1.2 FY2017'!$E:$E)</f>
        <v>420017.14999999997</v>
      </c>
      <c r="H62" s="2">
        <f>-SUMIF('1.3 FY2018'!$G$5:$G$78,'2.1 Database'!$B62,'1.3 FY2018'!$E$5:$E$78)</f>
        <v>0</v>
      </c>
      <c r="I62" s="2" t="s">
        <v>68</v>
      </c>
    </row>
    <row r="63" spans="2:9" x14ac:dyDescent="0.2">
      <c r="B63" s="2" t="s">
        <v>180</v>
      </c>
      <c r="C63" s="2" t="str">
        <f>INDEX('1.2 FY2017'!B$5:B$86, MATCH('2.1 Database'!$B63,'1.2 FY2017'!$G$5:$G$86,0))</f>
        <v>Utility charges</v>
      </c>
      <c r="D63" s="2">
        <f>INDEX('1.2 FY2017'!C$5:C$86, MATCH('2.1 Database'!$B63,'1.2 FY2017'!$G$5:$G$86,0))</f>
        <v>111111</v>
      </c>
      <c r="E63" s="2" t="str">
        <f>INDEX('1.2 FY2017'!D$5:D$86, MATCH('2.1 Database'!$B63,'1.2 FY2017'!$G$5:$G$86,0))</f>
        <v>External</v>
      </c>
      <c r="F63" s="2">
        <f>-SUMIF('1.1 FY2016'!$G$5:$G$61,'2.1 Database'!$B63,'1.1 FY2016'!$E$5:$E$61)</f>
        <v>0</v>
      </c>
      <c r="G63" s="2">
        <f>-SUMIF('1.2 FY2017'!$G:$G,'2.1 Database'!B63,'1.2 FY2017'!$E:$E)</f>
        <v>-14589.33</v>
      </c>
      <c r="H63" s="2">
        <f>-SUMIF('1.3 FY2018'!$G$5:$G$78,'2.1 Database'!$B63,'1.3 FY2018'!$E$5:$E$78)</f>
        <v>-20504.509999999998</v>
      </c>
      <c r="I63" s="2" t="s">
        <v>231</v>
      </c>
    </row>
    <row r="64" spans="2:9" x14ac:dyDescent="0.2">
      <c r="B64" s="2" t="s">
        <v>181</v>
      </c>
      <c r="C64" s="2" t="str">
        <f>INDEX('1.2 FY2017'!B$5:B$86, MATCH('2.1 Database'!$B64,'1.2 FY2017'!$G$5:$G$86,0))</f>
        <v>R&amp;D expenses</v>
      </c>
      <c r="D64" s="2">
        <f>INDEX('1.2 FY2017'!C$5:C$86, MATCH('2.1 Database'!$B64,'1.2 FY2017'!$G$5:$G$86,0))</f>
        <v>19</v>
      </c>
      <c r="E64" s="2" t="str">
        <f>INDEX('1.2 FY2017'!D$5:D$86, MATCH('2.1 Database'!$B64,'1.2 FY2017'!$G$5:$G$86,0))</f>
        <v>Generco Cosmetics Ltd</v>
      </c>
      <c r="F64" s="2">
        <f>-SUMIF('1.1 FY2016'!$G$5:$G$61,'2.1 Database'!$B64,'1.1 FY2016'!$E$5:$E$61)</f>
        <v>0</v>
      </c>
      <c r="G64" s="2">
        <f>-SUMIF('1.2 FY2017'!$G:$G,'2.1 Database'!B64,'1.2 FY2017'!$E:$E)</f>
        <v>-38521</v>
      </c>
      <c r="H64" s="2">
        <f>-SUMIF('1.3 FY2018'!$G$5:$G$78,'2.1 Database'!$B64,'1.3 FY2018'!$E$5:$E$78)</f>
        <v>0</v>
      </c>
      <c r="I64" s="2" t="s">
        <v>231</v>
      </c>
    </row>
    <row r="65" spans="2:9" x14ac:dyDescent="0.2">
      <c r="B65" s="2" t="s">
        <v>182</v>
      </c>
      <c r="C65" s="2" t="str">
        <f>INDEX('1.2 FY2017'!B$5:B$86, MATCH('2.1 Database'!$B65,'1.2 FY2017'!$G$5:$G$86,0))</f>
        <v>R&amp;D expenses</v>
      </c>
      <c r="D65" s="2" t="str">
        <f>INDEX('1.2 FY2017'!C$5:C$86, MATCH('2.1 Database'!$B65,'1.2 FY2017'!$G$5:$G$86,0))</f>
        <v>1283</v>
      </c>
      <c r="E65" s="2" t="str">
        <f>INDEX('1.2 FY2017'!D$5:D$86, MATCH('2.1 Database'!$B65,'1.2 FY2017'!$G$5:$G$86,0))</f>
        <v>Generco Ventures Ltd</v>
      </c>
      <c r="F65" s="2">
        <f>-SUMIF('1.1 FY2016'!$G$5:$G$61,'2.1 Database'!$B65,'1.1 FY2016'!$E$5:$E$61)</f>
        <v>0</v>
      </c>
      <c r="G65" s="2">
        <f>-SUMIF('1.2 FY2017'!$G:$G,'2.1 Database'!B65,'1.2 FY2017'!$E:$E)</f>
        <v>-1820</v>
      </c>
      <c r="H65" s="2">
        <f>-SUMIF('1.3 FY2018'!$G$5:$G$78,'2.1 Database'!$B65,'1.3 FY2018'!$E$5:$E$78)</f>
        <v>0</v>
      </c>
      <c r="I65" s="2" t="s">
        <v>231</v>
      </c>
    </row>
    <row r="66" spans="2:9" x14ac:dyDescent="0.2">
      <c r="B66" s="2" t="s">
        <v>183</v>
      </c>
      <c r="C66" s="2" t="str">
        <f>INDEX('1.2 FY2017'!B$5:B$86, MATCH('2.1 Database'!$B66,'1.2 FY2017'!$G$5:$G$86,0))</f>
        <v>R&amp;D expenses</v>
      </c>
      <c r="D66" s="2" t="str">
        <f>INDEX('1.2 FY2017'!C$5:C$86, MATCH('2.1 Database'!$B66,'1.2 FY2017'!$G$5:$G$86,0))</f>
        <v>1924</v>
      </c>
      <c r="E66" s="2" t="str">
        <f>INDEX('1.2 FY2017'!D$5:D$86, MATCH('2.1 Database'!$B66,'1.2 FY2017'!$G$5:$G$86,0))</f>
        <v>Generco Infrastructure Ltd</v>
      </c>
      <c r="F66" s="2">
        <f>-SUMIF('1.1 FY2016'!$G$5:$G$61,'2.1 Database'!$B66,'1.1 FY2016'!$E$5:$E$61)</f>
        <v>0</v>
      </c>
      <c r="G66" s="2">
        <f>-SUMIF('1.2 FY2017'!$G:$G,'2.1 Database'!B66,'1.2 FY2017'!$E:$E)</f>
        <v>-10448.129999999999</v>
      </c>
      <c r="H66" s="2">
        <f>-SUMIF('1.3 FY2018'!$G$5:$G$78,'2.1 Database'!$B66,'1.3 FY2018'!$E$5:$E$78)</f>
        <v>-673.34299999999985</v>
      </c>
      <c r="I66" s="2" t="s">
        <v>231</v>
      </c>
    </row>
    <row r="67" spans="2:9" x14ac:dyDescent="0.2">
      <c r="B67" s="2" t="s">
        <v>184</v>
      </c>
      <c r="C67" s="2" t="str">
        <f>INDEX('1.2 FY2017'!B$5:B$86, MATCH('2.1 Database'!$B67,'1.2 FY2017'!$G$5:$G$86,0))</f>
        <v>R&amp;D expenses</v>
      </c>
      <c r="D67" s="2" t="str">
        <f>INDEX('1.2 FY2017'!C$5:C$86, MATCH('2.1 Database'!$B67,'1.2 FY2017'!$G$5:$G$86,0))</f>
        <v>2486</v>
      </c>
      <c r="E67" s="2" t="str">
        <f>INDEX('1.2 FY2017'!D$5:D$86, MATCH('2.1 Database'!$B67,'1.2 FY2017'!$G$5:$G$86,0))</f>
        <v>Generco Exloration Ltd</v>
      </c>
      <c r="F67" s="2">
        <f>-SUMIF('1.1 FY2016'!$G$5:$G$61,'2.1 Database'!$B67,'1.1 FY2016'!$E$5:$E$61)</f>
        <v>0</v>
      </c>
      <c r="G67" s="2">
        <f>-SUMIF('1.2 FY2017'!$G:$G,'2.1 Database'!B67,'1.2 FY2017'!$E:$E)</f>
        <v>-10412.5</v>
      </c>
      <c r="H67" s="2">
        <f>-SUMIF('1.3 FY2018'!$G$5:$G$78,'2.1 Database'!$B67,'1.3 FY2018'!$E$5:$E$78)</f>
        <v>0</v>
      </c>
      <c r="I67" s="2" t="s">
        <v>231</v>
      </c>
    </row>
    <row r="68" spans="2:9" x14ac:dyDescent="0.2">
      <c r="B68" s="2" t="s">
        <v>185</v>
      </c>
      <c r="C68" s="2" t="str">
        <f>INDEX('1.2 FY2017'!B$5:B$86, MATCH('2.1 Database'!$B68,'1.2 FY2017'!$G$5:$G$86,0))</f>
        <v>Other personnel expenses</v>
      </c>
      <c r="D68" s="2">
        <f>INDEX('1.2 FY2017'!C$5:C$86, MATCH('2.1 Database'!$B68,'1.2 FY2017'!$G$5:$G$86,0))</f>
        <v>111101</v>
      </c>
      <c r="E68" s="2" t="str">
        <f>INDEX('1.2 FY2017'!D$5:D$86, MATCH('2.1 Database'!$B68,'1.2 FY2017'!$G$5:$G$86,0))</f>
        <v>Not assigned</v>
      </c>
      <c r="F68" s="2">
        <f>-SUMIF('1.1 FY2016'!$G$5:$G$61,'2.1 Database'!$B68,'1.1 FY2016'!$E$5:$E$61)</f>
        <v>0</v>
      </c>
      <c r="G68" s="2">
        <f>-SUMIF('1.2 FY2017'!$G:$G,'2.1 Database'!B68,'1.2 FY2017'!$E:$E)</f>
        <v>-6919.8499999999995</v>
      </c>
      <c r="H68" s="2">
        <f>-SUMIF('1.3 FY2018'!$G$5:$G$78,'2.1 Database'!$B68,'1.3 FY2018'!$E$5:$E$78)</f>
        <v>0</v>
      </c>
      <c r="I68" s="2" t="s">
        <v>232</v>
      </c>
    </row>
    <row r="69" spans="2:9" x14ac:dyDescent="0.2">
      <c r="B69" s="2" t="s">
        <v>186</v>
      </c>
      <c r="C69" s="2" t="str">
        <f>INDEX('1.2 FY2017'!B$5:B$86, MATCH('2.1 Database'!$B69,'1.2 FY2017'!$G$5:$G$86,0))</f>
        <v>D&amp;A</v>
      </c>
      <c r="D69" s="2">
        <f>INDEX('1.2 FY2017'!C$5:C$86, MATCH('2.1 Database'!$B69,'1.2 FY2017'!$G$5:$G$86,0))</f>
        <v>111101</v>
      </c>
      <c r="E69" s="2" t="str">
        <f>INDEX('1.2 FY2017'!D$5:D$86, MATCH('2.1 Database'!$B69,'1.2 FY2017'!$G$5:$G$86,0))</f>
        <v>Not assigned</v>
      </c>
      <c r="F69" s="2">
        <f>-SUMIF('1.1 FY2016'!$G$5:$G$61,'2.1 Database'!$B69,'1.1 FY2016'!$E$5:$E$61)</f>
        <v>0</v>
      </c>
      <c r="G69" s="2">
        <f>-SUMIF('1.2 FY2017'!$G:$G,'2.1 Database'!B69,'1.2 FY2017'!$E:$E)</f>
        <v>-146328.94499999998</v>
      </c>
      <c r="H69" s="2">
        <f>-SUMIF('1.3 FY2018'!$G$5:$G$78,'2.1 Database'!$B69,'1.3 FY2018'!$E$5:$E$78)</f>
        <v>-12593.355</v>
      </c>
      <c r="I69" s="2" t="s">
        <v>73</v>
      </c>
    </row>
    <row r="70" spans="2:9" x14ac:dyDescent="0.2">
      <c r="B70" s="2" t="s">
        <v>187</v>
      </c>
      <c r="C70" s="2" t="str">
        <f>INDEX('1.2 FY2017'!B$5:B$86, MATCH('2.1 Database'!$B70,'1.2 FY2017'!$G$5:$G$86,0))</f>
        <v>Gains from disposal of PP&amp;E</v>
      </c>
      <c r="D70" s="2">
        <f>INDEX('1.2 FY2017'!C$5:C$86, MATCH('2.1 Database'!$B70,'1.2 FY2017'!$G$5:$G$86,0))</f>
        <v>111111</v>
      </c>
      <c r="E70" s="2" t="str">
        <f>INDEX('1.2 FY2017'!D$5:D$86, MATCH('2.1 Database'!$B70,'1.2 FY2017'!$G$5:$G$86,0))</f>
        <v>External</v>
      </c>
      <c r="F70" s="2">
        <f>-SUMIF('1.1 FY2016'!$G$5:$G$61,'2.1 Database'!$B70,'1.1 FY2016'!$E$5:$E$61)</f>
        <v>0</v>
      </c>
      <c r="G70" s="2">
        <f>-SUMIF('1.2 FY2017'!$G:$G,'2.1 Database'!B70,'1.2 FY2017'!$E:$E)</f>
        <v>121553.07499999998</v>
      </c>
      <c r="H70" s="2">
        <f>-SUMIF('1.3 FY2018'!$G$5:$G$78,'2.1 Database'!$B70,'1.3 FY2018'!$E$5:$E$78)</f>
        <v>0</v>
      </c>
      <c r="I70" s="2" t="s">
        <v>238</v>
      </c>
    </row>
    <row r="71" spans="2:9" x14ac:dyDescent="0.2">
      <c r="B71" s="2" t="s">
        <v>188</v>
      </c>
      <c r="C71" s="2" t="str">
        <f>INDEX('1.2 FY2017'!B$5:B$86, MATCH('2.1 Database'!$B71,'1.2 FY2017'!$G$5:$G$86,0))</f>
        <v>Corporate recharges</v>
      </c>
      <c r="D71" s="2">
        <f>INDEX('1.2 FY2017'!C$5:C$86, MATCH('2.1 Database'!$B71,'1.2 FY2017'!$G$5:$G$86,0))</f>
        <v>19</v>
      </c>
      <c r="E71" s="2" t="str">
        <f>INDEX('1.2 FY2017'!D$5:D$86, MATCH('2.1 Database'!$B71,'1.2 FY2017'!$G$5:$G$86,0))</f>
        <v>Generco Cosmetics Ltd</v>
      </c>
      <c r="F71" s="2">
        <f>-SUMIF('1.1 FY2016'!$G$5:$G$61,'2.1 Database'!$B71,'1.1 FY2016'!$E$5:$E$61)</f>
        <v>0</v>
      </c>
      <c r="G71" s="2">
        <f>-SUMIF('1.2 FY2017'!$G:$G,'2.1 Database'!B71,'1.2 FY2017'!$E:$E)</f>
        <v>416278.66</v>
      </c>
      <c r="H71" s="2">
        <f>-SUMIF('1.3 FY2018'!$G$5:$G$78,'2.1 Database'!$B71,'1.3 FY2018'!$E$5:$E$78)</f>
        <v>622966.38600000006</v>
      </c>
      <c r="I71" s="2" t="s">
        <v>233</v>
      </c>
    </row>
    <row r="72" spans="2:9" x14ac:dyDescent="0.2">
      <c r="B72" s="2" t="s">
        <v>189</v>
      </c>
      <c r="C72" s="2" t="str">
        <f>INDEX('1.2 FY2017'!B$5:B$86, MATCH('2.1 Database'!$B72,'1.2 FY2017'!$G$5:$G$86,0))</f>
        <v>Corporate recharges</v>
      </c>
      <c r="D72" s="2" t="str">
        <f>INDEX('1.2 FY2017'!C$5:C$86, MATCH('2.1 Database'!$B72,'1.2 FY2017'!$G$5:$G$86,0))</f>
        <v>1076</v>
      </c>
      <c r="E72" s="2" t="str">
        <f>INDEX('1.2 FY2017'!D$5:D$86, MATCH('2.1 Database'!$B72,'1.2 FY2017'!$G$5:$G$86,0))</f>
        <v>Generco Trading Ltd</v>
      </c>
      <c r="F72" s="2">
        <f>-SUMIF('1.1 FY2016'!$G$5:$G$61,'2.1 Database'!$B72,'1.1 FY2016'!$E$5:$E$61)</f>
        <v>0</v>
      </c>
      <c r="G72" s="2">
        <f>-SUMIF('1.2 FY2017'!$G:$G,'2.1 Database'!B72,'1.2 FY2017'!$E:$E)</f>
        <v>364243.84499999997</v>
      </c>
      <c r="H72" s="2">
        <f>-SUMIF('1.3 FY2018'!$G$5:$G$78,'2.1 Database'!$B72,'1.3 FY2018'!$E$5:$E$78)</f>
        <v>0</v>
      </c>
      <c r="I72" s="2" t="s">
        <v>233</v>
      </c>
    </row>
    <row r="73" spans="2:9" x14ac:dyDescent="0.2">
      <c r="B73" s="2" t="s">
        <v>190</v>
      </c>
      <c r="C73" s="2" t="str">
        <f>INDEX('1.2 FY2017'!B$5:B$86, MATCH('2.1 Database'!$B73,'1.2 FY2017'!$G$5:$G$86,0))</f>
        <v>Corporate recharges</v>
      </c>
      <c r="D73" s="2" t="str">
        <f>INDEX('1.2 FY2017'!C$5:C$86, MATCH('2.1 Database'!$B73,'1.2 FY2017'!$G$5:$G$86,0))</f>
        <v>1086</v>
      </c>
      <c r="E73" s="2" t="str">
        <f>INDEX('1.2 FY2017'!D$5:D$86, MATCH('2.1 Database'!$B73,'1.2 FY2017'!$G$5:$G$86,0))</f>
        <v>G&amp;Resources Ltd</v>
      </c>
      <c r="F73" s="2">
        <f>-SUMIF('1.1 FY2016'!$G$5:$G$61,'2.1 Database'!$B73,'1.1 FY2016'!$E$5:$E$61)</f>
        <v>0</v>
      </c>
      <c r="G73" s="2">
        <f>-SUMIF('1.2 FY2017'!$G:$G,'2.1 Database'!B73,'1.2 FY2017'!$E:$E)</f>
        <v>0</v>
      </c>
      <c r="H73" s="2">
        <f>-SUMIF('1.3 FY2018'!$G$5:$G$78,'2.1 Database'!$B73,'1.3 FY2018'!$E$5:$E$78)</f>
        <v>0</v>
      </c>
      <c r="I73" s="2" t="s">
        <v>233</v>
      </c>
    </row>
    <row r="74" spans="2:9" x14ac:dyDescent="0.2">
      <c r="B74" s="2" t="s">
        <v>191</v>
      </c>
      <c r="C74" s="2" t="str">
        <f>INDEX('1.2 FY2017'!B$5:B$86, MATCH('2.1 Database'!$B74,'1.2 FY2017'!$G$5:$G$86,0))</f>
        <v>Corporate recharges</v>
      </c>
      <c r="D74" s="2" t="str">
        <f>INDEX('1.2 FY2017'!C$5:C$86, MATCH('2.1 Database'!$B74,'1.2 FY2017'!$G$5:$G$86,0))</f>
        <v>47037</v>
      </c>
      <c r="E74" s="2" t="str">
        <f>INDEX('1.2 FY2017'!D$5:D$86, MATCH('2.1 Database'!$B74,'1.2 FY2017'!$G$5:$G$86,0))</f>
        <v>G&amp;CR Global Ltd</v>
      </c>
      <c r="F74" s="2">
        <f>-SUMIF('1.1 FY2016'!$G$5:$G$61,'2.1 Database'!$B74,'1.1 FY2016'!$E$5:$E$61)</f>
        <v>0</v>
      </c>
      <c r="G74" s="2">
        <f>-SUMIF('1.2 FY2017'!$G:$G,'2.1 Database'!B74,'1.2 FY2017'!$E:$E)</f>
        <v>482611.04499999998</v>
      </c>
      <c r="H74" s="2">
        <f>-SUMIF('1.3 FY2018'!$G$5:$G$78,'2.1 Database'!$B74,'1.3 FY2018'!$E$5:$E$78)</f>
        <v>1948832.1429999999</v>
      </c>
      <c r="I74" s="2" t="s">
        <v>233</v>
      </c>
    </row>
    <row r="75" spans="2:9" x14ac:dyDescent="0.2">
      <c r="B75" s="2" t="s">
        <v>192</v>
      </c>
      <c r="C75" s="2" t="str">
        <f>INDEX('1.2 FY2017'!B$5:B$86, MATCH('2.1 Database'!$B75,'1.2 FY2017'!$G$5:$G$86,0))</f>
        <v>Other income</v>
      </c>
      <c r="D75" s="2">
        <f>INDEX('1.2 FY2017'!C$5:C$86, MATCH('2.1 Database'!$B75,'1.2 FY2017'!$G$5:$G$86,0))</f>
        <v>88</v>
      </c>
      <c r="E75" s="2" t="str">
        <f>INDEX('1.2 FY2017'!D$5:D$86, MATCH('2.1 Database'!$B75,'1.2 FY2017'!$G$5:$G$86,0))</f>
        <v>Generco Ltd</v>
      </c>
      <c r="F75" s="2">
        <f>-SUMIF('1.1 FY2016'!$G$5:$G$61,'2.1 Database'!$B75,'1.1 FY2016'!$E$5:$E$61)</f>
        <v>0</v>
      </c>
      <c r="G75" s="2">
        <f>-SUMIF('1.2 FY2017'!$G:$G,'2.1 Database'!B75,'1.2 FY2017'!$E:$E)</f>
        <v>2436.35</v>
      </c>
      <c r="H75" s="2">
        <f>-SUMIF('1.3 FY2018'!$G$5:$G$78,'2.1 Database'!$B75,'1.3 FY2018'!$E$5:$E$78)</f>
        <v>0</v>
      </c>
      <c r="I75" s="2" t="s">
        <v>75</v>
      </c>
    </row>
    <row r="76" spans="2:9" x14ac:dyDescent="0.2">
      <c r="B76" s="2" t="s">
        <v>193</v>
      </c>
      <c r="C76" s="2" t="str">
        <f>INDEX('1.2 FY2017'!B$5:B$86, MATCH('2.1 Database'!$B76,'1.2 FY2017'!$G$5:$G$86,0))</f>
        <v>Concession fees other</v>
      </c>
      <c r="D76" s="2">
        <f>INDEX('1.2 FY2017'!C$5:C$86, MATCH('2.1 Database'!$B76,'1.2 FY2017'!$G$5:$G$86,0))</f>
        <v>111101</v>
      </c>
      <c r="E76" s="2" t="str">
        <f>INDEX('1.2 FY2017'!D$5:D$86, MATCH('2.1 Database'!$B76,'1.2 FY2017'!$G$5:$G$86,0))</f>
        <v>Not assigned</v>
      </c>
      <c r="F76" s="2">
        <f>-SUMIF('1.1 FY2016'!$G$5:$G$61,'2.1 Database'!$B76,'1.1 FY2016'!$E$5:$E$61)</f>
        <v>0</v>
      </c>
      <c r="G76" s="2">
        <f>-SUMIF('1.2 FY2017'!$G:$G,'2.1 Database'!B76,'1.2 FY2017'!$E:$E)</f>
        <v>-81.339999999999989</v>
      </c>
      <c r="H76" s="2">
        <f>-SUMIF('1.3 FY2018'!$G$5:$G$78,'2.1 Database'!$B76,'1.3 FY2018'!$E$5:$E$78)</f>
        <v>0</v>
      </c>
      <c r="I76" s="2" t="s">
        <v>231</v>
      </c>
    </row>
    <row r="77" spans="2:9" x14ac:dyDescent="0.2">
      <c r="B77" s="2" t="s">
        <v>194</v>
      </c>
      <c r="C77" s="2" t="str">
        <f>INDEX('1.2 FY2017'!B$5:B$86, MATCH('2.1 Database'!$B77,'1.2 FY2017'!$G$5:$G$86,0))</f>
        <v>Service expenses</v>
      </c>
      <c r="D77" s="2">
        <f>INDEX('1.2 FY2017'!C$5:C$86, MATCH('2.1 Database'!$B77,'1.2 FY2017'!$G$5:$G$86,0))</f>
        <v>105</v>
      </c>
      <c r="E77" s="2" t="str">
        <f>INDEX('1.2 FY2017'!D$5:D$86, MATCH('2.1 Database'!$B77,'1.2 FY2017'!$G$5:$G$86,0))</f>
        <v>Generco Healthcare Ltd</v>
      </c>
      <c r="F77" s="2">
        <f>-SUMIF('1.1 FY2016'!$G$5:$G$61,'2.1 Database'!$B77,'1.1 FY2016'!$E$5:$E$61)</f>
        <v>0</v>
      </c>
      <c r="G77" s="2">
        <f>-SUMIF('1.2 FY2017'!$G:$G,'2.1 Database'!B77,'1.2 FY2017'!$E:$E)</f>
        <v>-276920</v>
      </c>
      <c r="H77" s="2">
        <f>-SUMIF('1.3 FY2018'!$G$5:$G$78,'2.1 Database'!$B77,'1.3 FY2018'!$E$5:$E$78)</f>
        <v>-473575.46100000001</v>
      </c>
      <c r="I77" s="2" t="s">
        <v>235</v>
      </c>
    </row>
    <row r="78" spans="2:9" x14ac:dyDescent="0.2">
      <c r="B78" s="2" t="s">
        <v>195</v>
      </c>
      <c r="C78" s="2" t="str">
        <f>INDEX('1.2 FY2017'!B$5:B$86, MATCH('2.1 Database'!$B78,'1.2 FY2017'!$G$5:$G$86,0))</f>
        <v>Insurance expenses</v>
      </c>
      <c r="D78" s="2">
        <f>INDEX('1.2 FY2017'!C$5:C$86, MATCH('2.1 Database'!$B78,'1.2 FY2017'!$G$5:$G$86,0))</f>
        <v>1900</v>
      </c>
      <c r="E78" s="2" t="str">
        <f>INDEX('1.2 FY2017'!D$5:D$86, MATCH('2.1 Database'!$B78,'1.2 FY2017'!$G$5:$G$86,0))</f>
        <v>Generco Metals Gm</v>
      </c>
      <c r="F78" s="2">
        <f>-SUMIF('1.1 FY2016'!$G$5:$G$61,'2.1 Database'!$B78,'1.1 FY2016'!$E$5:$E$61)</f>
        <v>0</v>
      </c>
      <c r="G78" s="2">
        <f>-SUMIF('1.2 FY2017'!$G:$G,'2.1 Database'!B78,'1.2 FY2017'!$E:$E)</f>
        <v>0</v>
      </c>
      <c r="H78" s="2">
        <f>-SUMIF('1.3 FY2018'!$G$5:$G$78,'2.1 Database'!$B78,'1.3 FY2018'!$E$5:$E$78)</f>
        <v>0</v>
      </c>
    </row>
    <row r="79" spans="2:9" x14ac:dyDescent="0.2">
      <c r="B79" s="2" t="s">
        <v>196</v>
      </c>
      <c r="C79" s="2" t="str">
        <f>INDEX('1.2 FY2017'!B$5:B$86, MATCH('2.1 Database'!$B79,'1.2 FY2017'!$G$5:$G$86,0))</f>
        <v>Travel expenses</v>
      </c>
      <c r="D79" s="2" t="str">
        <f>INDEX('1.2 FY2017'!C$5:C$86, MATCH('2.1 Database'!$B79,'1.2 FY2017'!$G$5:$G$86,0))</f>
        <v>1118</v>
      </c>
      <c r="E79" s="2" t="str">
        <f>INDEX('1.2 FY2017'!D$5:D$86, MATCH('2.1 Database'!$B79,'1.2 FY2017'!$G$5:$G$86,0))</f>
        <v>Gener Green LLC</v>
      </c>
      <c r="F79" s="2">
        <f>-SUMIF('1.1 FY2016'!$G$5:$G$61,'2.1 Database'!$B79,'1.1 FY2016'!$E$5:$E$61)</f>
        <v>0</v>
      </c>
      <c r="G79" s="2">
        <f>-SUMIF('1.2 FY2017'!$G:$G,'2.1 Database'!B79,'1.2 FY2017'!$E:$E)</f>
        <v>-23928.799999999999</v>
      </c>
      <c r="H79" s="2">
        <f>-SUMIF('1.3 FY2018'!$G$5:$G$78,'2.1 Database'!$B79,'1.3 FY2018'!$E$5:$E$78)</f>
        <v>0</v>
      </c>
      <c r="I79" s="2" t="s">
        <v>231</v>
      </c>
    </row>
    <row r="80" spans="2:9" x14ac:dyDescent="0.2">
      <c r="B80" s="2" t="s">
        <v>197</v>
      </c>
      <c r="C80" s="2" t="str">
        <f>INDEX('1.2 FY2017'!B$5:B$86, MATCH('2.1 Database'!$B80,'1.2 FY2017'!$G$5:$G$86,0))</f>
        <v>Losses fr disposal of PPE</v>
      </c>
      <c r="D80" s="2">
        <f>INDEX('1.2 FY2017'!C$5:C$86, MATCH('2.1 Database'!$B80,'1.2 FY2017'!$G$5:$G$86,0))</f>
        <v>111111</v>
      </c>
      <c r="E80" s="2" t="str">
        <f>INDEX('1.2 FY2017'!D$5:D$86, MATCH('2.1 Database'!$B80,'1.2 FY2017'!$G$5:$G$86,0))</f>
        <v>External</v>
      </c>
      <c r="F80" s="2">
        <f>-SUMIF('1.1 FY2016'!$G$5:$G$61,'2.1 Database'!$B80,'1.1 FY2016'!$E$5:$E$61)</f>
        <v>0</v>
      </c>
      <c r="G80" s="2">
        <f>-SUMIF('1.2 FY2017'!$G:$G,'2.1 Database'!B80,'1.2 FY2017'!$E:$E)</f>
        <v>-308232</v>
      </c>
      <c r="H80" s="2">
        <f>-SUMIF('1.3 FY2018'!$G$5:$G$78,'2.1 Database'!$B80,'1.3 FY2018'!$E$5:$E$78)</f>
        <v>0</v>
      </c>
      <c r="I80" s="2" t="s">
        <v>238</v>
      </c>
    </row>
    <row r="81" spans="2:9" x14ac:dyDescent="0.2">
      <c r="B81" s="2" t="s">
        <v>198</v>
      </c>
      <c r="C81" s="2" t="str">
        <f>INDEX('1.2 FY2017'!B$5:B$86, MATCH('2.1 Database'!$B81,'1.2 FY2017'!$G$5:$G$86,0))</f>
        <v>Other operative currency differences</v>
      </c>
      <c r="D81" s="2">
        <f>INDEX('1.2 FY2017'!C$5:C$86, MATCH('2.1 Database'!$B81,'1.2 FY2017'!$G$5:$G$86,0))</f>
        <v>19</v>
      </c>
      <c r="E81" s="2" t="str">
        <f>INDEX('1.2 FY2017'!D$5:D$86, MATCH('2.1 Database'!$B81,'1.2 FY2017'!$G$5:$G$86,0))</f>
        <v>Generco Cosmetics Ltd</v>
      </c>
      <c r="F81" s="2">
        <f>-SUMIF('1.1 FY2016'!$G$5:$G$61,'2.1 Database'!$B81,'1.1 FY2016'!$E$5:$E$61)</f>
        <v>0</v>
      </c>
      <c r="G81" s="2">
        <f>-SUMIF('1.2 FY2017'!$G:$G,'2.1 Database'!B81,'1.2 FY2017'!$E:$E)</f>
        <v>-13422.779999999999</v>
      </c>
      <c r="H81" s="2">
        <f>-SUMIF('1.3 FY2018'!$G$5:$G$78,'2.1 Database'!$B81,'1.3 FY2018'!$E$5:$E$78)</f>
        <v>0</v>
      </c>
      <c r="I81" s="2" t="s">
        <v>231</v>
      </c>
    </row>
    <row r="82" spans="2:9" x14ac:dyDescent="0.2">
      <c r="B82" s="2" t="s">
        <v>199</v>
      </c>
      <c r="C82" s="2" t="str">
        <f>INDEX('1.2 FY2017'!B$5:B$86, MATCH('2.1 Database'!$B82,'1.2 FY2017'!$G$5:$G$86,0))</f>
        <v>Other operative currency differences</v>
      </c>
      <c r="D82" s="2">
        <f>INDEX('1.2 FY2017'!C$5:C$86, MATCH('2.1 Database'!$B82,'1.2 FY2017'!$G$5:$G$86,0))</f>
        <v>111111</v>
      </c>
      <c r="E82" s="2" t="str">
        <f>INDEX('1.2 FY2017'!D$5:D$86, MATCH('2.1 Database'!$B82,'1.2 FY2017'!$G$5:$G$86,0))</f>
        <v>External</v>
      </c>
      <c r="F82" s="2">
        <f>-SUMIF('1.1 FY2016'!$G$5:$G$61,'2.1 Database'!$B82,'1.1 FY2016'!$E$5:$E$61)</f>
        <v>0</v>
      </c>
      <c r="G82" s="2">
        <f>-SUMIF('1.2 FY2017'!$G:$G,'2.1 Database'!B82,'1.2 FY2017'!$E:$E)</f>
        <v>-4045.6150000000002</v>
      </c>
      <c r="H82" s="2">
        <f>-SUMIF('1.3 FY2018'!$G$5:$G$78,'2.1 Database'!$B82,'1.3 FY2018'!$E$5:$E$78)</f>
        <v>0</v>
      </c>
      <c r="I82" s="2" t="s">
        <v>231</v>
      </c>
    </row>
    <row r="83" spans="2:9" x14ac:dyDescent="0.2">
      <c r="B83" s="2" t="s">
        <v>200</v>
      </c>
      <c r="C83" s="2" t="str">
        <f>INDEX('1.2 FY2017'!B$5:B$86, MATCH('2.1 Database'!$B83,'1.2 FY2017'!$G$5:$G$86,0))</f>
        <v>Property tax</v>
      </c>
      <c r="D83" s="2">
        <f>INDEX('1.2 FY2017'!C$5:C$86, MATCH('2.1 Database'!$B83,'1.2 FY2017'!$G$5:$G$86,0))</f>
        <v>111111</v>
      </c>
      <c r="E83" s="2" t="str">
        <f>INDEX('1.2 FY2017'!D$5:D$86, MATCH('2.1 Database'!$B83,'1.2 FY2017'!$G$5:$G$86,0))</f>
        <v>External</v>
      </c>
      <c r="F83" s="2">
        <f>-SUMIF('1.1 FY2016'!$G$5:$G$61,'2.1 Database'!$B83,'1.1 FY2016'!$E$5:$E$61)</f>
        <v>0</v>
      </c>
      <c r="G83" s="2">
        <f>-SUMIF('1.2 FY2017'!$G:$G,'2.1 Database'!B83,'1.2 FY2017'!$E:$E)</f>
        <v>-49621.144999999997</v>
      </c>
      <c r="H83" s="2">
        <f>-SUMIF('1.3 FY2018'!$G$5:$G$78,'2.1 Database'!$B83,'1.3 FY2018'!$E$5:$E$78)</f>
        <v>0</v>
      </c>
      <c r="I83" s="2" t="s">
        <v>231</v>
      </c>
    </row>
    <row r="84" spans="2:9" x14ac:dyDescent="0.2">
      <c r="B84" s="2" t="s">
        <v>201</v>
      </c>
      <c r="C84" s="2" t="str">
        <f>INDEX('1.2 FY2017'!B$5:B$86, MATCH('2.1 Database'!$B84,'1.2 FY2017'!$G$5:$G$86,0))</f>
        <v>Misc extraordinary expenses</v>
      </c>
      <c r="D84" s="2">
        <f>INDEX('1.2 FY2017'!C$5:C$86, MATCH('2.1 Database'!$B84,'1.2 FY2017'!$G$5:$G$86,0))</f>
        <v>19</v>
      </c>
      <c r="E84" s="2" t="str">
        <f>INDEX('1.2 FY2017'!D$5:D$86, MATCH('2.1 Database'!$B84,'1.2 FY2017'!$G$5:$G$86,0))</f>
        <v>Generco Cosmetics Ltd</v>
      </c>
      <c r="F84" s="2">
        <f>-SUMIF('1.1 FY2016'!$G$5:$G$61,'2.1 Database'!$B84,'1.1 FY2016'!$E$5:$E$61)</f>
        <v>0</v>
      </c>
      <c r="G84" s="2">
        <f>-SUMIF('1.2 FY2017'!$G:$G,'2.1 Database'!B84,'1.2 FY2017'!$E:$E)</f>
        <v>-85462.684999999998</v>
      </c>
      <c r="H84" s="2">
        <f>-SUMIF('1.3 FY2018'!$G$5:$G$78,'2.1 Database'!$B84,'1.3 FY2018'!$E$5:$E$78)</f>
        <v>0</v>
      </c>
      <c r="I84" s="2" t="s">
        <v>238</v>
      </c>
    </row>
    <row r="85" spans="2:9" x14ac:dyDescent="0.2">
      <c r="B85" s="2" t="s">
        <v>202</v>
      </c>
      <c r="C85" s="2" t="str">
        <f>INDEX('1.2 FY2017'!B$5:B$86, MATCH('2.1 Database'!$B85,'1.2 FY2017'!$G$5:$G$86,0))</f>
        <v>Misc extraordinary expenses</v>
      </c>
      <c r="D85" s="2" t="str">
        <f>INDEX('1.2 FY2017'!C$5:C$86, MATCH('2.1 Database'!$B85,'1.2 FY2017'!$G$5:$G$86,0))</f>
        <v>43</v>
      </c>
      <c r="E85" s="2" t="str">
        <f>INDEX('1.2 FY2017'!D$5:D$86, MATCH('2.1 Database'!$B85,'1.2 FY2017'!$G$5:$G$86,0))</f>
        <v>Greeny France SL</v>
      </c>
      <c r="F85" s="2">
        <f>-SUMIF('1.1 FY2016'!$G$5:$G$61,'2.1 Database'!$B85,'1.1 FY2016'!$E$5:$E$61)</f>
        <v>0</v>
      </c>
      <c r="G85" s="2">
        <f>-SUMIF('1.2 FY2017'!$G:$G,'2.1 Database'!B85,'1.2 FY2017'!$E:$E)</f>
        <v>-11422.144999999999</v>
      </c>
      <c r="H85" s="2">
        <f>-SUMIF('1.3 FY2018'!$G$5:$G$78,'2.1 Database'!$B85,'1.3 FY2018'!$E$5:$E$78)</f>
        <v>0</v>
      </c>
      <c r="I85" s="2" t="s">
        <v>238</v>
      </c>
    </row>
    <row r="86" spans="2:9" x14ac:dyDescent="0.2">
      <c r="B86" s="2" t="s">
        <v>203</v>
      </c>
      <c r="C86" s="2" t="str">
        <f>INDEX('1.2 FY2017'!B$5:B$86, MATCH('2.1 Database'!$B86,'1.2 FY2017'!$G$5:$G$86,0))</f>
        <v>Misc extraordinary expenses</v>
      </c>
      <c r="D86" s="2" t="str">
        <f>INDEX('1.2 FY2017'!C$5:C$86, MATCH('2.1 Database'!$B86,'1.2 FY2017'!$G$5:$G$86,0))</f>
        <v>1924</v>
      </c>
      <c r="E86" s="2" t="str">
        <f>INDEX('1.2 FY2017'!D$5:D$86, MATCH('2.1 Database'!$B86,'1.2 FY2017'!$G$5:$G$86,0))</f>
        <v>Generco Infrastructure Ltd</v>
      </c>
      <c r="F86" s="2">
        <f>-SUMIF('1.1 FY2016'!$G$5:$G$61,'2.1 Database'!$B86,'1.1 FY2016'!$E$5:$E$61)</f>
        <v>0</v>
      </c>
      <c r="G86" s="2">
        <f>-SUMIF('1.2 FY2017'!$G:$G,'2.1 Database'!B86,'1.2 FY2017'!$E:$E)</f>
        <v>-84438.864999999991</v>
      </c>
      <c r="H86" s="2">
        <f>-SUMIF('1.3 FY2018'!$G$5:$G$78,'2.1 Database'!$B86,'1.3 FY2018'!$E$5:$E$78)</f>
        <v>0</v>
      </c>
      <c r="I86" s="2" t="s">
        <v>238</v>
      </c>
    </row>
    <row r="87" spans="2:9" x14ac:dyDescent="0.2">
      <c r="B87" s="2" t="s">
        <v>204</v>
      </c>
      <c r="C87" s="2" t="str">
        <f>INDEX('1.2 FY2017'!B$5:B$86, MATCH('2.1 Database'!$B87,'1.2 FY2017'!$G$5:$G$86,0))</f>
        <v>Difference from eliminations</v>
      </c>
      <c r="D87" s="2" t="str">
        <f>INDEX('1.2 FY2017'!C$5:C$86, MATCH('2.1 Database'!$B87,'1.2 FY2017'!$G$5:$G$86,0))</f>
        <v>1086</v>
      </c>
      <c r="E87" s="2" t="str">
        <f>INDEX('1.2 FY2017'!D$5:D$86, MATCH('2.1 Database'!$B87,'1.2 FY2017'!$G$5:$G$86,0))</f>
        <v>G&amp;Resources Ltd</v>
      </c>
      <c r="F87" s="2">
        <f>-SUMIF('1.1 FY2016'!$G$5:$G$61,'2.1 Database'!$B87,'1.1 FY2016'!$E$5:$E$61)</f>
        <v>0</v>
      </c>
      <c r="G87" s="2">
        <f>-SUMIF('1.2 FY2017'!$G:$G,'2.1 Database'!B87,'1.2 FY2017'!$E:$E)</f>
        <v>0</v>
      </c>
      <c r="H87" s="2">
        <f>-SUMIF('1.3 FY2018'!$G$5:$G$78,'2.1 Database'!$B87,'1.3 FY2018'!$E$5:$E$78)</f>
        <v>0</v>
      </c>
    </row>
    <row r="88" spans="2:9" x14ac:dyDescent="0.2">
      <c r="B88" s="2" t="s">
        <v>205</v>
      </c>
      <c r="C88" s="2" t="str">
        <f>INDEX('1.2 FY2017'!B$5:B$86, MATCH('2.1 Database'!$B88,'1.2 FY2017'!$G$5:$G$86,0))</f>
        <v>Interest income</v>
      </c>
      <c r="D88" s="2" t="str">
        <f>INDEX('1.2 FY2017'!C$5:C$86, MATCH('2.1 Database'!$B88,'1.2 FY2017'!$G$5:$G$86,0))</f>
        <v>1086</v>
      </c>
      <c r="E88" s="2" t="str">
        <f>INDEX('1.2 FY2017'!D$5:D$86, MATCH('2.1 Database'!$B88,'1.2 FY2017'!$G$5:$G$86,0))</f>
        <v>G&amp;Resources Ltd</v>
      </c>
      <c r="F88" s="2">
        <f>-SUMIF('1.1 FY2016'!$G$5:$G$61,'2.1 Database'!$B88,'1.1 FY2016'!$E$5:$E$61)</f>
        <v>0</v>
      </c>
      <c r="G88" s="2">
        <f>-SUMIF('1.2 FY2017'!$G:$G,'2.1 Database'!B88,'1.2 FY2017'!$E:$E)</f>
        <v>0</v>
      </c>
      <c r="H88" s="2">
        <f>-SUMIF('1.3 FY2018'!$G$5:$G$78,'2.1 Database'!$B88,'1.3 FY2018'!$E$5:$E$78)</f>
        <v>0</v>
      </c>
      <c r="I88" s="2" t="s">
        <v>237</v>
      </c>
    </row>
    <row r="89" spans="2:9" x14ac:dyDescent="0.2">
      <c r="B89" s="2" t="s">
        <v>206</v>
      </c>
      <c r="C89" s="2" t="str">
        <f>INDEX('1.2 FY2017'!B$5:B$86, MATCH('2.1 Database'!$B89,'1.2 FY2017'!$G$5:$G$86,0))</f>
        <v>Interest income</v>
      </c>
      <c r="D89" s="2">
        <f>INDEX('1.2 FY2017'!C$5:C$86, MATCH('2.1 Database'!$B89,'1.2 FY2017'!$G$5:$G$86,0))</f>
        <v>1006</v>
      </c>
      <c r="E89" s="2" t="str">
        <f>INDEX('1.2 FY2017'!D$5:D$86, MATCH('2.1 Database'!$B89,'1.2 FY2017'!$G$5:$G$86,0))</f>
        <v>Generco Mining GmbH</v>
      </c>
      <c r="F89" s="2">
        <f>-SUMIF('1.1 FY2016'!$G$5:$G$61,'2.1 Database'!$B89,'1.1 FY2016'!$E$5:$E$61)</f>
        <v>0</v>
      </c>
      <c r="G89" s="2">
        <f>-SUMIF('1.2 FY2017'!$G:$G,'2.1 Database'!B89,'1.2 FY2017'!$E:$E)</f>
        <v>6778.415</v>
      </c>
      <c r="H89" s="2">
        <f>-SUMIF('1.3 FY2018'!$G$5:$G$78,'2.1 Database'!$B89,'1.3 FY2018'!$E$5:$E$78)</f>
        <v>0</v>
      </c>
      <c r="I89" s="2" t="s">
        <v>237</v>
      </c>
    </row>
    <row r="90" spans="2:9" x14ac:dyDescent="0.2">
      <c r="B90" s="2" t="s">
        <v>207</v>
      </c>
      <c r="C90" s="2" t="str">
        <f>INDEX('1.2 FY2017'!B$5:B$86, MATCH('2.1 Database'!$B90,'1.2 FY2017'!$G$5:$G$86,0))</f>
        <v>Interest expenses</v>
      </c>
      <c r="D90" s="2">
        <f>INDEX('1.2 FY2017'!C$5:C$86, MATCH('2.1 Database'!$B90,'1.2 FY2017'!$G$5:$G$86,0))</f>
        <v>1007</v>
      </c>
      <c r="E90" s="2" t="str">
        <f>INDEX('1.2 FY2017'!D$5:D$86, MATCH('2.1 Database'!$B90,'1.2 FY2017'!$G$5:$G$86,0))</f>
        <v>Generco Semiconductors Ltd</v>
      </c>
      <c r="F90" s="2">
        <f>-SUMIF('1.1 FY2016'!$G$5:$G$61,'2.1 Database'!$B90,'1.1 FY2016'!$E$5:$E$61)</f>
        <v>0</v>
      </c>
      <c r="G90" s="2">
        <f>-SUMIF('1.2 FY2017'!$G:$G,'2.1 Database'!B90,'1.2 FY2017'!$E:$E)</f>
        <v>0</v>
      </c>
      <c r="H90" s="2">
        <f>-SUMIF('1.3 FY2018'!$G$5:$G$78,'2.1 Database'!$B90,'1.3 FY2018'!$E$5:$E$78)</f>
        <v>0</v>
      </c>
      <c r="I90" s="2" t="s">
        <v>237</v>
      </c>
    </row>
    <row r="91" spans="2:9" x14ac:dyDescent="0.2">
      <c r="B91" s="2" t="s">
        <v>208</v>
      </c>
      <c r="C91" s="2" t="str">
        <f>INDEX('1.2 FY2017'!B$5:B$86, MATCH('2.1 Database'!$B91,'1.2 FY2017'!$G$5:$G$86,0))</f>
        <v>Interest expenses</v>
      </c>
      <c r="D91" s="2">
        <f>INDEX('1.2 FY2017'!C$5:C$86, MATCH('2.1 Database'!$B91,'1.2 FY2017'!$G$5:$G$86,0))</f>
        <v>111111</v>
      </c>
      <c r="E91" s="2" t="str">
        <f>INDEX('1.2 FY2017'!D$5:D$86, MATCH('2.1 Database'!$B91,'1.2 FY2017'!$G$5:$G$86,0))</f>
        <v>External</v>
      </c>
      <c r="F91" s="2">
        <f>-SUMIF('1.1 FY2016'!$G$5:$G$61,'2.1 Database'!$B91,'1.1 FY2016'!$E$5:$E$61)</f>
        <v>0</v>
      </c>
      <c r="G91" s="2">
        <f>-SUMIF('1.2 FY2017'!$G:$G,'2.1 Database'!B91,'1.2 FY2017'!$E:$E)</f>
        <v>-1250.7950000000001</v>
      </c>
      <c r="H91" s="2">
        <f>-SUMIF('1.3 FY2018'!$G$5:$G$78,'2.1 Database'!$B91,'1.3 FY2018'!$E$5:$E$78)</f>
        <v>-51.454999999999998</v>
      </c>
      <c r="I91" s="2" t="s">
        <v>237</v>
      </c>
    </row>
    <row r="92" spans="2:9" x14ac:dyDescent="0.2">
      <c r="B92" s="2" t="s">
        <v>209</v>
      </c>
      <c r="C92" s="2" t="str">
        <f>INDEX('1.2 FY2017'!B$5:B$86, MATCH('2.1 Database'!$B92,'1.2 FY2017'!$G$5:$G$86,0))</f>
        <v>Impairment of participation</v>
      </c>
      <c r="D92" s="2">
        <f>INDEX('1.2 FY2017'!C$5:C$86, MATCH('2.1 Database'!$B92,'1.2 FY2017'!$G$5:$G$86,0))</f>
        <v>1240</v>
      </c>
      <c r="E92" s="2" t="str">
        <f>INDEX('1.2 FY2017'!D$5:D$86, MATCH('2.1 Database'!$B92,'1.2 FY2017'!$G$5:$G$86,0))</f>
        <v xml:space="preserve">Generco UK </v>
      </c>
      <c r="F92" s="2">
        <f>-SUMIF('1.1 FY2016'!$G$5:$G$61,'2.1 Database'!$B92,'1.1 FY2016'!$E$5:$E$61)</f>
        <v>0</v>
      </c>
      <c r="G92" s="2">
        <f>-SUMIF('1.2 FY2017'!$G:$G,'2.1 Database'!B92,'1.2 FY2017'!$E:$E)</f>
        <v>-4130000</v>
      </c>
      <c r="H92" s="2">
        <f>-SUMIF('1.3 FY2018'!$G$5:$G$78,'2.1 Database'!$B92,'1.3 FY2018'!$E$5:$E$78)</f>
        <v>0</v>
      </c>
      <c r="I92" s="2" t="s">
        <v>238</v>
      </c>
    </row>
    <row r="93" spans="2:9" x14ac:dyDescent="0.2">
      <c r="B93" s="2" t="s">
        <v>210</v>
      </c>
      <c r="C93" s="2" t="str">
        <f>INDEX('1.2 FY2017'!B$5:B$86, MATCH('2.1 Database'!$B93,'1.2 FY2017'!$G$5:$G$86,0))</f>
        <v>Quarterly changes in current taxes</v>
      </c>
      <c r="D93" s="2">
        <f>INDEX('1.2 FY2017'!C$5:C$86, MATCH('2.1 Database'!$B93,'1.2 FY2017'!$G$5:$G$86,0))</f>
        <v>111101</v>
      </c>
      <c r="E93" s="2" t="str">
        <f>INDEX('1.2 FY2017'!D$5:D$86, MATCH('2.1 Database'!$B93,'1.2 FY2017'!$G$5:$G$86,0))</f>
        <v>Not assigned</v>
      </c>
      <c r="F93" s="2">
        <f>-SUMIF('1.1 FY2016'!$G$5:$G$61,'2.1 Database'!$B93,'1.1 FY2016'!$E$5:$E$61)</f>
        <v>0</v>
      </c>
      <c r="G93" s="2">
        <f>-SUMIF('1.2 FY2017'!$G:$G,'2.1 Database'!B93,'1.2 FY2017'!$E:$E)</f>
        <v>0</v>
      </c>
      <c r="H93" s="2">
        <f>-SUMIF('1.3 FY2018'!$G$5:$G$78,'2.1 Database'!$B93,'1.3 FY2018'!$E$5:$E$78)</f>
        <v>0</v>
      </c>
    </row>
    <row r="94" spans="2:9" x14ac:dyDescent="0.2">
      <c r="B94" s="2" t="s">
        <v>211</v>
      </c>
      <c r="C94" s="2" t="str">
        <f>INDEX('1.2 FY2017'!B$5:B$86, MATCH('2.1 Database'!$B94,'1.2 FY2017'!$G$5:$G$86,0))</f>
        <v>Net income/(loss)</v>
      </c>
      <c r="D94" s="2">
        <f>INDEX('1.2 FY2017'!C$5:C$86, MATCH('2.1 Database'!$B94,'1.2 FY2017'!$G$5:$G$86,0))</f>
        <v>111101</v>
      </c>
      <c r="E94" s="2" t="str">
        <f>INDEX('1.2 FY2017'!D$5:D$86, MATCH('2.1 Database'!$B94,'1.2 FY2017'!$G$5:$G$86,0))</f>
        <v>Not assigned</v>
      </c>
      <c r="F94" s="2">
        <f>-SUMIF('1.1 FY2016'!$G$5:$G$61,'2.1 Database'!$B94,'1.1 FY2016'!$E$5:$E$61)</f>
        <v>0</v>
      </c>
      <c r="G94" s="2">
        <f>-SUMIF('1.2 FY2017'!$G:$G,'2.1 Database'!B94,'1.2 FY2017'!$E:$E)</f>
        <v>-6073808.1600000001</v>
      </c>
      <c r="H94" s="2">
        <f>-SUMIF('1.3 FY2018'!$G$5:$G$78,'2.1 Database'!$B94,'1.3 FY2018'!$E$5:$E$78)</f>
        <v>779290.47600000002</v>
      </c>
      <c r="I94" s="2" t="s">
        <v>240</v>
      </c>
    </row>
    <row r="95" spans="2:9" x14ac:dyDescent="0.2">
      <c r="B95" s="2" t="s">
        <v>212</v>
      </c>
      <c r="C95" s="2" t="str">
        <f>INDEX('1.3 FY2018'!B$5:B$78, MATCH('2.1 Database'!$B95,'1.3 FY2018'!$G$5:$G$78))</f>
        <v>Operating expenses for utilities</v>
      </c>
      <c r="D95" s="2">
        <f>INDEX('1.3 FY2018'!C$5:C$78, MATCH('2.1 Database'!$B95,'1.3 FY2018'!$G$5:$G$78))</f>
        <v>111111</v>
      </c>
      <c r="E95" s="2" t="str">
        <f>INDEX('1.3 FY2018'!D$5:D$78, MATCH('2.1 Database'!$B95,'1.3 FY2018'!$G$5:$G$78))</f>
        <v>External</v>
      </c>
      <c r="F95" s="2">
        <f>-SUMIF('1.1 FY2016'!$G$5:$G$61,'2.1 Database'!$B95,'1.1 FY2016'!$E$5:$E$61)</f>
        <v>0</v>
      </c>
      <c r="G95" s="2">
        <f>-SUMIF('1.2 FY2017'!$G:$G,'2.1 Database'!B95,'1.2 FY2017'!$E:$E)</f>
        <v>0</v>
      </c>
      <c r="H95" s="2">
        <f>-SUMIF('1.3 FY2018'!$G$5:$G$78,'2.1 Database'!$B95,'1.3 FY2018'!$E$5:$E$78)</f>
        <v>-13691.949999999999</v>
      </c>
      <c r="I95" s="2" t="s">
        <v>231</v>
      </c>
    </row>
    <row r="96" spans="2:9" x14ac:dyDescent="0.2">
      <c r="B96" s="2" t="s">
        <v>213</v>
      </c>
      <c r="C96" s="2" t="str">
        <f>INDEX('1.3 FY2018'!B$5:B$78, MATCH('2.1 Database'!$B96,'1.3 FY2018'!$G$5:$G$78))</f>
        <v>R&amp;D expenses</v>
      </c>
      <c r="D96" s="2">
        <f>INDEX('1.3 FY2018'!C$5:C$78, MATCH('2.1 Database'!$B96,'1.3 FY2018'!$G$5:$G$78))</f>
        <v>111111</v>
      </c>
      <c r="E96" s="2" t="str">
        <f>INDEX('1.3 FY2018'!D$5:D$78, MATCH('2.1 Database'!$B96,'1.3 FY2018'!$G$5:$G$78))</f>
        <v>External</v>
      </c>
      <c r="F96" s="2">
        <f>-SUMIF('1.1 FY2016'!$G$5:$G$61,'2.1 Database'!$B96,'1.1 FY2016'!$E$5:$E$61)</f>
        <v>0</v>
      </c>
      <c r="G96" s="2">
        <f>-SUMIF('1.2 FY2017'!$G:$G,'2.1 Database'!B96,'1.2 FY2017'!$E:$E)</f>
        <v>0</v>
      </c>
      <c r="H96" s="2">
        <f>-SUMIF('1.3 FY2018'!$G$5:$G$78,'2.1 Database'!$B96,'1.3 FY2018'!$E$5:$E$78)</f>
        <v>-192017.14499999996</v>
      </c>
      <c r="I96" s="2" t="s">
        <v>231</v>
      </c>
    </row>
    <row r="97" spans="2:9" x14ac:dyDescent="0.2">
      <c r="B97" s="2" t="s">
        <v>214</v>
      </c>
      <c r="C97" s="2" t="str">
        <f>INDEX('1.3 FY2018'!B$5:B$78, MATCH('2.1 Database'!$B97,'1.3 FY2018'!$G$5:$G$78))</f>
        <v>R&amp;D expenses</v>
      </c>
      <c r="D97" s="2">
        <f>INDEX('1.3 FY2018'!C$5:C$78, MATCH('2.1 Database'!$B97,'1.3 FY2018'!$G$5:$G$78))</f>
        <v>111111</v>
      </c>
      <c r="E97" s="2" t="str">
        <f>INDEX('1.3 FY2018'!D$5:D$78, MATCH('2.1 Database'!$B97,'1.3 FY2018'!$G$5:$G$78))</f>
        <v>External</v>
      </c>
      <c r="F97" s="2">
        <f>-SUMIF('1.1 FY2016'!$G$5:$G$61,'2.1 Database'!$B97,'1.1 FY2016'!$E$5:$E$61)</f>
        <v>0</v>
      </c>
      <c r="G97" s="2">
        <f>-SUMIF('1.2 FY2017'!$G:$G,'2.1 Database'!B97,'1.2 FY2017'!$E:$E)</f>
        <v>0</v>
      </c>
      <c r="H97" s="2">
        <f>-SUMIF('1.3 FY2018'!$G$5:$G$78,'2.1 Database'!$B97,'1.3 FY2018'!$E$5:$E$78)</f>
        <v>-375290.46599999996</v>
      </c>
      <c r="I97" s="2" t="s">
        <v>231</v>
      </c>
    </row>
    <row r="98" spans="2:9" x14ac:dyDescent="0.2">
      <c r="B98" s="2" t="s">
        <v>215</v>
      </c>
      <c r="C98" s="2" t="str">
        <f>INDEX('1.3 FY2018'!B$5:B$78, MATCH('2.1 Database'!$B98,'1.3 FY2018'!$G$5:$G$78))</f>
        <v>R&amp;D expenses</v>
      </c>
      <c r="D98" s="2">
        <f>INDEX('1.3 FY2018'!C$5:C$78, MATCH('2.1 Database'!$B98,'1.3 FY2018'!$G$5:$G$78))</f>
        <v>17000</v>
      </c>
      <c r="E98" s="2" t="str">
        <f>INDEX('1.3 FY2018'!D$5:D$78, MATCH('2.1 Database'!$B98,'1.3 FY2018'!$G$5:$G$78))</f>
        <v>Generco Risk Management Ltd</v>
      </c>
      <c r="F98" s="2">
        <f>-SUMIF('1.1 FY2016'!$G$5:$G$61,'2.1 Database'!$B98,'1.1 FY2016'!$E$5:$E$61)</f>
        <v>0</v>
      </c>
      <c r="G98" s="2">
        <f>-SUMIF('1.2 FY2017'!$G:$G,'2.1 Database'!B98,'1.2 FY2017'!$E:$E)</f>
        <v>0</v>
      </c>
      <c r="H98" s="2">
        <f>-SUMIF('1.3 FY2018'!$G$5:$G$78,'2.1 Database'!$B98,'1.3 FY2018'!$E$5:$E$78)</f>
        <v>-4920</v>
      </c>
      <c r="I98" s="2" t="s">
        <v>231</v>
      </c>
    </row>
    <row r="99" spans="2:9" x14ac:dyDescent="0.2">
      <c r="B99" s="2" t="s">
        <v>216</v>
      </c>
      <c r="C99" s="2" t="str">
        <f>INDEX('1.3 FY2018'!B$5:B$78, MATCH('2.1 Database'!$B99,'1.3 FY2018'!$G$5:$G$78))</f>
        <v>Other operative currency differences</v>
      </c>
      <c r="D99" s="2">
        <f>INDEX('1.3 FY2018'!C$5:C$78, MATCH('2.1 Database'!$B99,'1.3 FY2018'!$G$5:$G$78))</f>
        <v>111111</v>
      </c>
      <c r="E99" s="2" t="str">
        <f>INDEX('1.3 FY2018'!D$5:D$78, MATCH('2.1 Database'!$B99,'1.3 FY2018'!$G$5:$G$78))</f>
        <v>External</v>
      </c>
      <c r="F99" s="2">
        <f>-SUMIF('1.1 FY2016'!$G$5:$G$61,'2.1 Database'!$B99,'1.1 FY2016'!$E$5:$E$61)</f>
        <v>0</v>
      </c>
      <c r="G99" s="2">
        <f>-SUMIF('1.2 FY2017'!$G:$G,'2.1 Database'!B99,'1.2 FY2017'!$E:$E)</f>
        <v>0</v>
      </c>
      <c r="H99" s="2">
        <f>-SUMIF('1.3 FY2018'!$G$5:$G$78,'2.1 Database'!$B99,'1.3 FY2018'!$E$5:$E$78)</f>
        <v>0</v>
      </c>
      <c r="I99" s="2" t="s">
        <v>231</v>
      </c>
    </row>
    <row r="100" spans="2:9" x14ac:dyDescent="0.2">
      <c r="B100" s="2" t="s">
        <v>217</v>
      </c>
      <c r="C100" s="2" t="str">
        <f>INDEX('1.3 FY2018'!B$5:B$78, MATCH('2.1 Database'!$B100,'1.3 FY2018'!$G$5:$G$78))</f>
        <v>Other operative currency differences</v>
      </c>
      <c r="D100" s="2">
        <f>INDEX('1.3 FY2018'!C$5:C$78, MATCH('2.1 Database'!$B100,'1.3 FY2018'!$G$5:$G$78))</f>
        <v>111111</v>
      </c>
      <c r="E100" s="2" t="str">
        <f>INDEX('1.3 FY2018'!D$5:D$78, MATCH('2.1 Database'!$B100,'1.3 FY2018'!$G$5:$G$78))</f>
        <v>External</v>
      </c>
      <c r="F100" s="2">
        <f>-SUMIF('1.1 FY2016'!$G$5:$G$61,'2.1 Database'!$B100,'1.1 FY2016'!$E$5:$E$61)</f>
        <v>0</v>
      </c>
      <c r="G100" s="2">
        <f>-SUMIF('1.2 FY2017'!$G:$G,'2.1 Database'!B100,'1.2 FY2017'!$E:$E)</f>
        <v>0</v>
      </c>
      <c r="H100" s="2">
        <f>-SUMIF('1.3 FY2018'!$G$5:$G$78,'2.1 Database'!$B100,'1.3 FY2018'!$E$5:$E$78)</f>
        <v>1252.8369999999998</v>
      </c>
      <c r="I100" s="2" t="s">
        <v>231</v>
      </c>
    </row>
    <row r="101" spans="2:9" x14ac:dyDescent="0.2">
      <c r="B101" s="2" t="s">
        <v>218</v>
      </c>
      <c r="C101" s="2" t="str">
        <f>INDEX('1.3 FY2018'!B$5:B$78, MATCH('2.1 Database'!$B101,'1.3 FY2018'!$G$5:$G$78))</f>
        <v>Corporate recharges</v>
      </c>
      <c r="D101" s="2" t="str">
        <f>INDEX('1.3 FY2018'!C$5:C$78, MATCH('2.1 Database'!$B101,'1.3 FY2018'!$G$5:$G$78))</f>
        <v>1</v>
      </c>
      <c r="E101" s="2" t="str">
        <f>INDEX('1.3 FY2018'!D$5:D$78, MATCH('2.1 Database'!$B101,'1.3 FY2018'!$G$5:$G$78))</f>
        <v>Greeny Ltd</v>
      </c>
      <c r="F101" s="2">
        <f>-SUMIF('1.1 FY2016'!$G$5:$G$61,'2.1 Database'!$B101,'1.1 FY2016'!$E$5:$E$61)</f>
        <v>0</v>
      </c>
      <c r="G101" s="2">
        <f>-SUMIF('1.2 FY2017'!$G:$G,'2.1 Database'!B101,'1.2 FY2017'!$E:$E)</f>
        <v>0</v>
      </c>
      <c r="H101" s="2">
        <f>-SUMIF('1.3 FY2018'!$G$5:$G$78,'2.1 Database'!$B101,'1.3 FY2018'!$E$5:$E$78)</f>
        <v>0</v>
      </c>
      <c r="I101" s="2" t="s">
        <v>233</v>
      </c>
    </row>
    <row r="102" spans="2:9" x14ac:dyDescent="0.2">
      <c r="B102" s="2" t="s">
        <v>219</v>
      </c>
      <c r="C102" s="2" t="str">
        <f>INDEX('1.3 FY2018'!B$5:B$78, MATCH('2.1 Database'!$B102,'1.3 FY2018'!$G$5:$G$78))</f>
        <v>Reimbursements+compensation for damages</v>
      </c>
      <c r="D102" s="2">
        <f>INDEX('1.3 FY2018'!C$5:C$78, MATCH('2.1 Database'!$B102,'1.3 FY2018'!$G$5:$G$78))</f>
        <v>111111</v>
      </c>
      <c r="E102" s="2" t="str">
        <f>INDEX('1.3 FY2018'!D$5:D$78, MATCH('2.1 Database'!$B102,'1.3 FY2018'!$G$5:$G$78))</f>
        <v>External</v>
      </c>
      <c r="F102" s="2">
        <f>-SUMIF('1.1 FY2016'!$G$5:$G$61,'2.1 Database'!$B102,'1.1 FY2016'!$E$5:$E$61)</f>
        <v>0</v>
      </c>
      <c r="G102" s="2">
        <f>-SUMIF('1.2 FY2017'!$G:$G,'2.1 Database'!B102,'1.2 FY2017'!$E:$E)</f>
        <v>0</v>
      </c>
      <c r="H102" s="2">
        <f>-SUMIF('1.3 FY2018'!$G$5:$G$78,'2.1 Database'!$B102,'1.3 FY2018'!$E$5:$E$78)</f>
        <v>61499.999999999993</v>
      </c>
      <c r="I102" s="2" t="s">
        <v>231</v>
      </c>
    </row>
    <row r="103" spans="2:9" x14ac:dyDescent="0.2">
      <c r="B103" s="2" t="s">
        <v>220</v>
      </c>
      <c r="C103" s="2" t="str">
        <f>INDEX('1.3 FY2018'!B$5:B$78, MATCH('2.1 Database'!$B103,'1.3 FY2018'!$G$5:$G$78))</f>
        <v>Other income</v>
      </c>
      <c r="D103" s="2">
        <f>INDEX('1.3 FY2018'!C$5:C$78, MATCH('2.1 Database'!$B103,'1.3 FY2018'!$G$5:$G$78))</f>
        <v>105</v>
      </c>
      <c r="E103" s="2" t="str">
        <f>INDEX('1.3 FY2018'!D$5:D$78, MATCH('2.1 Database'!$B103,'1.3 FY2018'!$G$5:$G$78))</f>
        <v>Generco Healthcare Ltd</v>
      </c>
      <c r="F103" s="2">
        <f>-SUMIF('1.1 FY2016'!$G$5:$G$61,'2.1 Database'!$B103,'1.1 FY2016'!$E$5:$E$61)</f>
        <v>0</v>
      </c>
      <c r="G103" s="2">
        <f>-SUMIF('1.2 FY2017'!$G:$G,'2.1 Database'!B103,'1.2 FY2017'!$E:$E)</f>
        <v>0</v>
      </c>
      <c r="H103" s="2">
        <f>-SUMIF('1.3 FY2018'!$G$5:$G$78,'2.1 Database'!$B103,'1.3 FY2018'!$E$5:$E$78)</f>
        <v>30913.425999999996</v>
      </c>
      <c r="I103" s="2" t="s">
        <v>75</v>
      </c>
    </row>
    <row r="104" spans="2:9" x14ac:dyDescent="0.2">
      <c r="B104" s="2" t="s">
        <v>221</v>
      </c>
      <c r="C104" s="2" t="str">
        <f>INDEX('1.3 FY2018'!B$5:B$78, MATCH('2.1 Database'!$B104,'1.3 FY2018'!$G$5:$G$78))</f>
        <v>Leasings</v>
      </c>
      <c r="D104" s="2">
        <f>INDEX('1.3 FY2018'!C$5:C$78, MATCH('2.1 Database'!$B104,'1.3 FY2018'!$G$5:$G$78))</f>
        <v>105</v>
      </c>
      <c r="E104" s="2" t="str">
        <f>INDEX('1.3 FY2018'!D$5:D$78, MATCH('2.1 Database'!$B104,'1.3 FY2018'!$G$5:$G$78))</f>
        <v>Generco Healthcare Ltd</v>
      </c>
      <c r="F104" s="2">
        <f>-SUMIF('1.1 FY2016'!$G$5:$G$61,'2.1 Database'!$B104,'1.1 FY2016'!$E$5:$E$61)</f>
        <v>0</v>
      </c>
      <c r="G104" s="2">
        <f>-SUMIF('1.2 FY2017'!$G:$G,'2.1 Database'!B104,'1.2 FY2017'!$E:$E)</f>
        <v>0</v>
      </c>
      <c r="H104" s="2">
        <f>-SUMIF('1.3 FY2018'!$G$5:$G$78,'2.1 Database'!$B104,'1.3 FY2018'!$E$5:$E$78)</f>
        <v>1423120</v>
      </c>
      <c r="I104" s="2" t="s">
        <v>234</v>
      </c>
    </row>
    <row r="105" spans="2:9" x14ac:dyDescent="0.2">
      <c r="B105" s="2" t="s">
        <v>222</v>
      </c>
      <c r="C105" s="2" t="str">
        <f>INDEX('1.3 FY2018'!B$5:B$78, MATCH('2.1 Database'!$B105,'1.3 FY2018'!$G$5:$G$78))</f>
        <v>Insurance expenses</v>
      </c>
      <c r="D105" s="2">
        <f>INDEX('1.3 FY2018'!C$5:C$78, MATCH('2.1 Database'!$B105,'1.3 FY2018'!$G$5:$G$78))</f>
        <v>111111</v>
      </c>
      <c r="E105" s="2" t="str">
        <f>INDEX('1.3 FY2018'!D$5:D$78, MATCH('2.1 Database'!$B105,'1.3 FY2018'!$G$5:$G$78))</f>
        <v>External</v>
      </c>
      <c r="F105" s="2">
        <f>-SUMIF('1.1 FY2016'!$G$5:$G$61,'2.1 Database'!$B105,'1.1 FY2016'!$E$5:$E$61)</f>
        <v>0</v>
      </c>
      <c r="G105" s="2">
        <f>-SUMIF('1.2 FY2017'!$G:$G,'2.1 Database'!B105,'1.2 FY2017'!$E:$E)</f>
        <v>0</v>
      </c>
      <c r="H105" s="2">
        <f>-SUMIF('1.3 FY2018'!$G$5:$G$78,'2.1 Database'!$B105,'1.3 FY2018'!$E$5:$E$78)</f>
        <v>-584.66</v>
      </c>
      <c r="I105" s="2" t="s">
        <v>231</v>
      </c>
    </row>
    <row r="106" spans="2:9" x14ac:dyDescent="0.2">
      <c r="B106" s="2" t="s">
        <v>223</v>
      </c>
      <c r="C106" s="2" t="str">
        <f>INDEX('1.3 FY2018'!B$5:B$78, MATCH('2.1 Database'!$B106,'1.3 FY2018'!$G$5:$G$78))</f>
        <v>Repairs/Maintenance costs</v>
      </c>
      <c r="D106" s="2">
        <f>INDEX('1.3 FY2018'!C$5:C$78, MATCH('2.1 Database'!$B106,'1.3 FY2018'!$G$5:$G$78))</f>
        <v>111111</v>
      </c>
      <c r="E106" s="2" t="str">
        <f>INDEX('1.3 FY2018'!D$5:D$78, MATCH('2.1 Database'!$B106,'1.3 FY2018'!$G$5:$G$78))</f>
        <v>External</v>
      </c>
      <c r="F106" s="2">
        <f>-SUMIF('1.1 FY2016'!$G$5:$G$61,'2.1 Database'!$B106,'1.1 FY2016'!$E$5:$E$61)</f>
        <v>0</v>
      </c>
      <c r="G106" s="2">
        <f>-SUMIF('1.2 FY2017'!$G:$G,'2.1 Database'!B106,'1.2 FY2017'!$E:$E)</f>
        <v>0</v>
      </c>
      <c r="H106" s="2">
        <f>-SUMIF('1.3 FY2018'!$G$5:$G$78,'2.1 Database'!$B106,'1.3 FY2018'!$E$5:$E$78)</f>
        <v>-1352.9999999999998</v>
      </c>
      <c r="I106" s="2" t="s">
        <v>231</v>
      </c>
    </row>
    <row r="107" spans="2:9" x14ac:dyDescent="0.2">
      <c r="B107" s="2" t="s">
        <v>224</v>
      </c>
      <c r="C107" s="2" t="str">
        <f>INDEX('1.3 FY2018'!B$5:B$78, MATCH('2.1 Database'!$B107,'1.3 FY2018'!$G$5:$G$78))</f>
        <v>Difference from eliminations</v>
      </c>
      <c r="D107" s="2">
        <f>INDEX('1.3 FY2018'!C$5:C$78, MATCH('2.1 Database'!$B107,'1.3 FY2018'!$G$5:$G$78))</f>
        <v>1007</v>
      </c>
      <c r="E107" s="2" t="str">
        <f>INDEX('1.3 FY2018'!D$5:D$78, MATCH('2.1 Database'!$B107,'1.3 FY2018'!$G$5:$G$78))</f>
        <v>Generco Semiconductors Ltd</v>
      </c>
      <c r="F107" s="2">
        <f>-SUMIF('1.1 FY2016'!$G$5:$G$61,'2.1 Database'!$B107,'1.1 FY2016'!$E$5:$E$61)</f>
        <v>0</v>
      </c>
      <c r="G107" s="2">
        <f>-SUMIF('1.2 FY2017'!$G:$G,'2.1 Database'!B107,'1.2 FY2017'!$E:$E)</f>
        <v>0</v>
      </c>
      <c r="H107" s="2">
        <f>-SUMIF('1.3 FY2018'!$G$5:$G$78,'2.1 Database'!$B107,'1.3 FY2018'!$E$5:$E$78)</f>
        <v>0</v>
      </c>
    </row>
    <row r="108" spans="2:9" x14ac:dyDescent="0.2">
      <c r="B108" s="2" t="s">
        <v>225</v>
      </c>
      <c r="C108" s="2" t="str">
        <f>INDEX('1.3 FY2018'!B$5:B$78, MATCH('2.1 Database'!$B108,'1.3 FY2018'!$G$5:$G$78))</f>
        <v>Offset segments (tech.)</v>
      </c>
      <c r="D108" s="2">
        <f>INDEX('1.3 FY2018'!C$5:C$78, MATCH('2.1 Database'!$B108,'1.3 FY2018'!$G$5:$G$78))</f>
        <v>111101</v>
      </c>
      <c r="E108" s="2" t="str">
        <f>INDEX('1.3 FY2018'!D$5:D$78, MATCH('2.1 Database'!$B108,'1.3 FY2018'!$G$5:$G$78))</f>
        <v>Not assigned</v>
      </c>
      <c r="F108" s="2">
        <f>-SUMIF('1.1 FY2016'!$G$5:$G$61,'2.1 Database'!$B108,'1.1 FY2016'!$E$5:$E$61)</f>
        <v>0</v>
      </c>
      <c r="G108" s="2">
        <f>-SUMIF('1.2 FY2017'!$G:$G,'2.1 Database'!B108,'1.2 FY2017'!$E:$E)</f>
        <v>0</v>
      </c>
      <c r="H108" s="2">
        <f>-SUMIF('1.3 FY2018'!$G$5:$G$78,'2.1 Database'!$B108,'1.3 FY2018'!$E$5:$E$78)</f>
        <v>0</v>
      </c>
    </row>
    <row r="109" spans="2:9" x14ac:dyDescent="0.2">
      <c r="F109" s="2">
        <f>SUM(F4:F108)</f>
        <v>5808235.9879999971</v>
      </c>
      <c r="G109" s="2">
        <f>SUM(G4:G108)</f>
        <v>-12147616.32</v>
      </c>
      <c r="H109" s="2">
        <f>ROUND(SUM(H4:H108),1)</f>
        <v>1558581</v>
      </c>
    </row>
  </sheetData>
  <autoFilter ref="B3:H109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31"/>
  <sheetViews>
    <sheetView workbookViewId="0">
      <selection activeCell="C4" sqref="C4:E6"/>
    </sheetView>
  </sheetViews>
  <sheetFormatPr defaultRowHeight="11.4" x14ac:dyDescent="0.2"/>
  <cols>
    <col min="1" max="1" width="2" style="28" customWidth="1"/>
    <col min="2" max="2" width="20" style="28" bestFit="1" customWidth="1"/>
    <col min="3" max="16384" width="8.88671875" style="28"/>
  </cols>
  <sheetData>
    <row r="1" spans="2:8" ht="15.6" x14ac:dyDescent="0.3">
      <c r="B1" s="27" t="s">
        <v>242</v>
      </c>
    </row>
    <row r="3" spans="2:8" ht="36.6" thickBot="1" x14ac:dyDescent="0.3">
      <c r="B3" s="24" t="s">
        <v>243</v>
      </c>
      <c r="C3" s="25" t="s">
        <v>226</v>
      </c>
      <c r="D3" s="25" t="s">
        <v>227</v>
      </c>
      <c r="E3" s="25" t="s">
        <v>228</v>
      </c>
      <c r="G3" s="34" t="s">
        <v>251</v>
      </c>
      <c r="H3" s="34" t="s">
        <v>252</v>
      </c>
    </row>
    <row r="4" spans="2:8" x14ac:dyDescent="0.2">
      <c r="B4" s="28" t="s">
        <v>230</v>
      </c>
      <c r="C4" s="29">
        <f>SUMIF('2.1 Database'!$I:$I,'2.2 P&amp;L statement'!$B4,'2.1 Database'!F:F)/1000000</f>
        <v>14.500341000000001</v>
      </c>
      <c r="D4" s="29">
        <f>SUMIF('2.1 Database'!$I:$I,'2.2 P&amp;L statement'!$B4,'2.1 Database'!G:G)/1000000</f>
        <v>16.148295364999999</v>
      </c>
      <c r="E4" s="29">
        <f>SUMIF('2.1 Database'!$I:$I,'2.2 P&amp;L statement'!$B4,'2.1 Database'!H:H)/1000000</f>
        <v>15.047803019</v>
      </c>
      <c r="G4" s="35">
        <f>+IF(ISERROR((D4/C4)-1),"n.a.",IF(((D4/C4)-1)&gt;1,"&gt;100.0%",IF(((D4/C4)-1)&lt;-1,"&lt;-100.0%",((D4/C4)-1))))</f>
        <v>0.11364935245315944</v>
      </c>
      <c r="H4" s="35">
        <f>+IF(ISERROR((E4/D4)-1),"n.a.",IF(((E4/D4)-1)&gt;1,"&gt;100.0%",IF(((E4/D4)-1)&lt;-1,"&lt;-100.0%",((E4/D4)-1))))</f>
        <v>-6.8149134080444096E-2</v>
      </c>
    </row>
    <row r="5" spans="2:8" x14ac:dyDescent="0.2">
      <c r="B5" s="28" t="s">
        <v>67</v>
      </c>
      <c r="C5" s="29">
        <f>SUMIF('2.1 Database'!$I:$I,'2.2 P&amp;L statement'!$B5,'2.1 Database'!F:F)/1000000</f>
        <v>4.7948561920000001</v>
      </c>
      <c r="D5" s="29">
        <f>SUMIF('2.1 Database'!$I:$I,'2.2 P&amp;L statement'!$B5,'2.1 Database'!G:G)/1000000</f>
        <v>6.9602176449999993</v>
      </c>
      <c r="E5" s="29">
        <f>SUMIF('2.1 Database'!$I:$I,'2.2 P&amp;L statement'!$B5,'2.1 Database'!H:H)/1000000</f>
        <v>6.3736175140000002</v>
      </c>
      <c r="G5" s="35">
        <f t="shared" ref="G5:H24" si="0">+IF(ISERROR((D5/C5)-1),"n.a.",IF(((D5/C5)-1)&gt;1,"&gt;100.0%",IF(((D5/C5)-1)&lt;-1,"&lt;-100.0%",((D5/C5)-1))))</f>
        <v>0.45160091696030569</v>
      </c>
      <c r="H5" s="35">
        <f t="shared" si="0"/>
        <v>-8.4278992542911935E-2</v>
      </c>
    </row>
    <row r="6" spans="2:8" x14ac:dyDescent="0.2">
      <c r="B6" s="28" t="s">
        <v>233</v>
      </c>
      <c r="C6" s="29">
        <f>SUMIF('2.1 Database'!$I:$I,'2.2 P&amp;L statement'!$B6,'2.1 Database'!F:F)/1000000</f>
        <v>3.2200542519999997</v>
      </c>
      <c r="D6" s="29">
        <f>SUMIF('2.1 Database'!$I:$I,'2.2 P&amp;L statement'!$B6,'2.1 Database'!G:G)/1000000</f>
        <v>2.9240919949999999</v>
      </c>
      <c r="E6" s="29">
        <f>SUMIF('2.1 Database'!$I:$I,'2.2 P&amp;L statement'!$B6,'2.1 Database'!H:H)/1000000</f>
        <v>4.8931777299999997</v>
      </c>
      <c r="G6" s="35">
        <f t="shared" si="0"/>
        <v>-9.1912195832158816E-2</v>
      </c>
      <c r="H6" s="35">
        <f t="shared" si="0"/>
        <v>0.67340074743441836</v>
      </c>
    </row>
    <row r="7" spans="2:8" x14ac:dyDescent="0.2">
      <c r="B7" s="30" t="s">
        <v>244</v>
      </c>
      <c r="C7" s="29">
        <f>SUM(C4:C6)</f>
        <v>22.515251444</v>
      </c>
      <c r="D7" s="29">
        <f t="shared" ref="D7:E7" si="1">SUM(D4:D6)</f>
        <v>26.032605005000001</v>
      </c>
      <c r="E7" s="29">
        <f t="shared" si="1"/>
        <v>26.314598263000001</v>
      </c>
      <c r="G7" s="36">
        <f t="shared" si="0"/>
        <v>0.15622093183140207</v>
      </c>
      <c r="H7" s="36">
        <f t="shared" si="0"/>
        <v>1.0832310402506318E-2</v>
      </c>
    </row>
    <row r="8" spans="2:8" x14ac:dyDescent="0.2">
      <c r="B8" s="28" t="s">
        <v>105</v>
      </c>
      <c r="C8" s="29">
        <f>SUMIF('2.1 Database'!$I:$I,'2.2 P&amp;L statement'!$B8,'2.1 Database'!F:F)/1000000</f>
        <v>-4.4289117640000004</v>
      </c>
      <c r="D8" s="29">
        <f>SUMIF('2.1 Database'!$I:$I,'2.2 P&amp;L statement'!$B8,'2.1 Database'!G:G)/1000000</f>
        <v>-5.4631888250000005</v>
      </c>
      <c r="E8" s="29">
        <f>SUMIF('2.1 Database'!$I:$I,'2.2 P&amp;L statement'!$B8,'2.1 Database'!H:H)/1000000</f>
        <v>-5.6741520669999996</v>
      </c>
      <c r="G8" s="35">
        <f t="shared" si="0"/>
        <v>0.23352848647991253</v>
      </c>
      <c r="H8" s="35">
        <f t="shared" si="0"/>
        <v>3.861540370609462E-2</v>
      </c>
    </row>
    <row r="9" spans="2:8" x14ac:dyDescent="0.2">
      <c r="B9" s="30" t="s">
        <v>245</v>
      </c>
      <c r="C9" s="29">
        <f>SUM(C7:C8)</f>
        <v>18.086339680000002</v>
      </c>
      <c r="D9" s="29">
        <f t="shared" ref="D9:E9" si="2">SUM(D7:D8)</f>
        <v>20.569416180000001</v>
      </c>
      <c r="E9" s="29">
        <f t="shared" si="2"/>
        <v>20.640446195999999</v>
      </c>
      <c r="G9" s="36">
        <f t="shared" si="0"/>
        <v>0.13729016174266606</v>
      </c>
      <c r="H9" s="36">
        <f t="shared" si="0"/>
        <v>3.4531858064625887E-3</v>
      </c>
    </row>
    <row r="10" spans="2:8" x14ac:dyDescent="0.2">
      <c r="B10" s="28" t="s">
        <v>231</v>
      </c>
      <c r="C10" s="29">
        <f>SUMIF('2.1 Database'!$I:$I,'2.2 P&amp;L statement'!$B10,'2.1 Database'!F:F)/1000000</f>
        <v>-3.3966489799999997</v>
      </c>
      <c r="D10" s="29">
        <f>SUMIF('2.1 Database'!$I:$I,'2.2 P&amp;L statement'!$B10,'2.1 Database'!G:G)/1000000</f>
        <v>-3.7048433449999996</v>
      </c>
      <c r="E10" s="29">
        <f>SUMIF('2.1 Database'!$I:$I,'2.2 P&amp;L statement'!$B10,'2.1 Database'!H:H)/1000000</f>
        <v>-6.6874830379999999</v>
      </c>
      <c r="G10" s="35">
        <f t="shared" si="0"/>
        <v>9.0734829184498045E-2</v>
      </c>
      <c r="H10" s="35">
        <f t="shared" si="0"/>
        <v>0.80506499607475335</v>
      </c>
    </row>
    <row r="11" spans="2:8" x14ac:dyDescent="0.2">
      <c r="B11" s="28" t="s">
        <v>232</v>
      </c>
      <c r="C11" s="29">
        <f>SUMIF('2.1 Database'!$I:$I,'2.2 P&amp;L statement'!$B11,'2.1 Database'!F:F)/1000000</f>
        <v>-6.17073904</v>
      </c>
      <c r="D11" s="29">
        <f>SUMIF('2.1 Database'!$I:$I,'2.2 P&amp;L statement'!$B11,'2.1 Database'!G:G)/1000000</f>
        <v>-8.0718589449999989</v>
      </c>
      <c r="E11" s="29">
        <f>SUMIF('2.1 Database'!$I:$I,'2.2 P&amp;L statement'!$B11,'2.1 Database'!H:H)/1000000</f>
        <v>-5.8358881759999992</v>
      </c>
      <c r="G11" s="35">
        <f t="shared" si="0"/>
        <v>0.30808625882192531</v>
      </c>
      <c r="H11" s="35">
        <f t="shared" si="0"/>
        <v>-0.27700815688622027</v>
      </c>
    </row>
    <row r="12" spans="2:8" x14ac:dyDescent="0.2">
      <c r="B12" s="28" t="s">
        <v>234</v>
      </c>
      <c r="C12" s="29">
        <f>SUMIF('2.1 Database'!$I:$I,'2.2 P&amp;L statement'!$B12,'2.1 Database'!F:F)/1000000</f>
        <v>-1.127445872</v>
      </c>
      <c r="D12" s="29">
        <f>SUMIF('2.1 Database'!$I:$I,'2.2 P&amp;L statement'!$B12,'2.1 Database'!G:G)/1000000</f>
        <v>-1.0553814750000001</v>
      </c>
      <c r="E12" s="29">
        <f>SUMIF('2.1 Database'!$I:$I,'2.2 P&amp;L statement'!$B12,'2.1 Database'!H:H)/1000000</f>
        <v>1.596053449</v>
      </c>
      <c r="G12" s="35">
        <f t="shared" si="0"/>
        <v>-6.391827651305626E-2</v>
      </c>
      <c r="H12" s="35" t="str">
        <f t="shared" si="0"/>
        <v>&lt;-100.0%</v>
      </c>
    </row>
    <row r="13" spans="2:8" x14ac:dyDescent="0.2">
      <c r="B13" s="28" t="s">
        <v>235</v>
      </c>
      <c r="C13" s="29">
        <f>SUMIF('2.1 Database'!$I:$I,'2.2 P&amp;L statement'!$B13,'2.1 Database'!F:F)/1000000</f>
        <v>-2.5430882079999995</v>
      </c>
      <c r="D13" s="29">
        <f>SUMIF('2.1 Database'!$I:$I,'2.2 P&amp;L statement'!$B13,'2.1 Database'!G:G)/1000000</f>
        <v>-1.837786345</v>
      </c>
      <c r="E13" s="29">
        <f>SUMIF('2.1 Database'!$I:$I,'2.2 P&amp;L statement'!$B13,'2.1 Database'!H:H)/1000000</f>
        <v>-1.9549839309999999</v>
      </c>
      <c r="G13" s="35">
        <f t="shared" si="0"/>
        <v>-0.27734069969782171</v>
      </c>
      <c r="H13" s="35">
        <f t="shared" si="0"/>
        <v>6.3771061483210545E-2</v>
      </c>
    </row>
    <row r="14" spans="2:8" x14ac:dyDescent="0.2">
      <c r="B14" s="28" t="s">
        <v>236</v>
      </c>
      <c r="C14" s="29">
        <f>SUMIF('2.1 Database'!$I:$I,'2.2 P&amp;L statement'!$B14,'2.1 Database'!F:F)/1000000</f>
        <v>-1.8135250039999999</v>
      </c>
      <c r="D14" s="29">
        <f>SUMIF('2.1 Database'!$I:$I,'2.2 P&amp;L statement'!$B14,'2.1 Database'!G:G)/1000000</f>
        <v>-2.3932591899999998</v>
      </c>
      <c r="E14" s="29">
        <f>SUMIF('2.1 Database'!$I:$I,'2.2 P&amp;L statement'!$B14,'2.1 Database'!H:H)/1000000</f>
        <v>-2.5144318869999998</v>
      </c>
      <c r="G14" s="35">
        <f t="shared" si="0"/>
        <v>0.31967256294857238</v>
      </c>
      <c r="H14" s="35">
        <f t="shared" si="0"/>
        <v>5.0630829082912721E-2</v>
      </c>
    </row>
    <row r="15" spans="2:8" x14ac:dyDescent="0.2">
      <c r="B15" s="28" t="s">
        <v>75</v>
      </c>
      <c r="C15" s="29">
        <f>SUMIF('2.1 Database'!$I:$I,'2.2 P&amp;L statement'!$B15,'2.1 Database'!F:F)/1000000</f>
        <v>5.7221999999999995E-5</v>
      </c>
      <c r="D15" s="29">
        <f>SUMIF('2.1 Database'!$I:$I,'2.2 P&amp;L statement'!$B15,'2.1 Database'!G:G)/1000000</f>
        <v>-7.3574899999999995E-3</v>
      </c>
      <c r="E15" s="29">
        <f>SUMIF('2.1 Database'!$I:$I,'2.2 P&amp;L statement'!$B15,'2.1 Database'!H:H)/1000000</f>
        <v>4.678542799999999E-2</v>
      </c>
      <c r="G15" s="35" t="str">
        <f t="shared" si="0"/>
        <v>&lt;-100.0%</v>
      </c>
      <c r="H15" s="35" t="str">
        <f t="shared" si="0"/>
        <v>&lt;-100.0%</v>
      </c>
    </row>
    <row r="16" spans="2:8" x14ac:dyDescent="0.2">
      <c r="B16" s="28" t="s">
        <v>68</v>
      </c>
      <c r="C16" s="29">
        <f>SUMIF('2.1 Database'!$I:$I,'2.2 P&amp;L statement'!$B16,'2.1 Database'!F:F)/1000000</f>
        <v>5.2683321979999995</v>
      </c>
      <c r="D16" s="29">
        <f>SUMIF('2.1 Database'!$I:$I,'2.2 P&amp;L statement'!$B16,'2.1 Database'!G:G)/1000000</f>
        <v>0.74482694999999999</v>
      </c>
      <c r="E16" s="29">
        <f>SUMIF('2.1 Database'!$I:$I,'2.2 P&amp;L statement'!$B16,'2.1 Database'!H:H)/1000000</f>
        <v>0</v>
      </c>
      <c r="G16" s="35">
        <f t="shared" si="0"/>
        <v>-0.85862187082986985</v>
      </c>
      <c r="H16" s="35">
        <f t="shared" si="0"/>
        <v>-1</v>
      </c>
    </row>
    <row r="17" spans="2:8" ht="12" x14ac:dyDescent="0.25">
      <c r="B17" s="31" t="s">
        <v>246</v>
      </c>
      <c r="C17" s="29">
        <f>SUM(C9:C16)</f>
        <v>8.3032819960000026</v>
      </c>
      <c r="D17" s="29">
        <f t="shared" ref="D17:E17" si="3">SUM(D9:D16)</f>
        <v>4.2437563400000018</v>
      </c>
      <c r="E17" s="29">
        <f t="shared" si="3"/>
        <v>5.2904980409999993</v>
      </c>
      <c r="G17" s="37">
        <f t="shared" si="0"/>
        <v>-0.48890615276653548</v>
      </c>
      <c r="H17" s="37">
        <f t="shared" si="0"/>
        <v>0.24665452423217982</v>
      </c>
    </row>
    <row r="18" spans="2:8" x14ac:dyDescent="0.2">
      <c r="B18" s="28" t="s">
        <v>73</v>
      </c>
      <c r="C18" s="29">
        <f>SUMIF('2.1 Database'!$I:$I,'2.2 P&amp;L statement'!$B18,'2.1 Database'!F:F)/1000000</f>
        <v>-2.045243514</v>
      </c>
      <c r="D18" s="29">
        <f>SUMIF('2.1 Database'!$I:$I,'2.2 P&amp;L statement'!$B18,'2.1 Database'!G:G)/1000000</f>
        <v>-2.0440058150000002</v>
      </c>
      <c r="E18" s="29">
        <f>SUMIF('2.1 Database'!$I:$I,'2.2 P&amp;L statement'!$B18,'2.1 Database'!H:H)/1000000</f>
        <v>-1.8883615140000001</v>
      </c>
      <c r="G18" s="35">
        <f t="shared" si="0"/>
        <v>-6.0515972378227811E-4</v>
      </c>
      <c r="H18" s="35">
        <f t="shared" si="0"/>
        <v>-7.6146701666795491E-2</v>
      </c>
    </row>
    <row r="19" spans="2:8" x14ac:dyDescent="0.2">
      <c r="B19" s="30" t="s">
        <v>247</v>
      </c>
      <c r="C19" s="29">
        <f>SUM(C17:C18)</f>
        <v>6.2580384820000026</v>
      </c>
      <c r="D19" s="29">
        <f t="shared" ref="D19:E19" si="4">SUM(D17:D18)</f>
        <v>2.1997505250000016</v>
      </c>
      <c r="E19" s="29">
        <f t="shared" si="4"/>
        <v>3.4021365269999992</v>
      </c>
      <c r="G19" s="36">
        <f t="shared" si="0"/>
        <v>-0.64849201050342775</v>
      </c>
      <c r="H19" s="36">
        <f t="shared" si="0"/>
        <v>0.54660107513782585</v>
      </c>
    </row>
    <row r="20" spans="2:8" x14ac:dyDescent="0.2">
      <c r="B20" s="28" t="s">
        <v>237</v>
      </c>
      <c r="C20" s="29">
        <f>SUMIF('2.1 Database'!$I:$I,'2.2 P&amp;L statement'!$B20,'2.1 Database'!F:F)/1000000</f>
        <v>-2.8426923660000001</v>
      </c>
      <c r="D20" s="29">
        <f>SUMIF('2.1 Database'!$I:$I,'2.2 P&amp;L statement'!$B20,'2.1 Database'!G:G)/1000000</f>
        <v>-2.7107469200000001</v>
      </c>
      <c r="E20" s="29">
        <f>SUMIF('2.1 Database'!$I:$I,'2.2 P&amp;L statement'!$B20,'2.1 Database'!H:H)/1000000</f>
        <v>-2.250707829</v>
      </c>
      <c r="G20" s="35">
        <f t="shared" si="0"/>
        <v>-4.6415661285805099E-2</v>
      </c>
      <c r="H20" s="35">
        <f t="shared" si="0"/>
        <v>-0.16970934748862498</v>
      </c>
    </row>
    <row r="21" spans="2:8" x14ac:dyDescent="0.2">
      <c r="B21" s="28" t="s">
        <v>238</v>
      </c>
      <c r="C21" s="29">
        <f>SUMIF('2.1 Database'!$I:$I,'2.2 P&amp;L statement'!$B21,'2.1 Database'!F:F)/1000000</f>
        <v>-2.2762999999999999E-2</v>
      </c>
      <c r="D21" s="29">
        <f>SUMIF('2.1 Database'!$I:$I,'2.2 P&amp;L statement'!$B21,'2.1 Database'!G:G)/1000000</f>
        <v>-4.5786198000000002</v>
      </c>
      <c r="E21" s="29">
        <f>SUMIF('2.1 Database'!$I:$I,'2.2 P&amp;L statement'!$B21,'2.1 Database'!H:H)/1000000</f>
        <v>-7.1731959999999989E-3</v>
      </c>
      <c r="G21" s="35" t="str">
        <f t="shared" si="0"/>
        <v>&gt;100.0%</v>
      </c>
      <c r="H21" s="35">
        <f t="shared" si="0"/>
        <v>-0.99843332787754069</v>
      </c>
    </row>
    <row r="22" spans="2:8" x14ac:dyDescent="0.2">
      <c r="B22" s="30" t="s">
        <v>248</v>
      </c>
      <c r="C22" s="29">
        <f>SUM(C19:C21)</f>
        <v>3.3925831160000026</v>
      </c>
      <c r="D22" s="29">
        <f t="shared" ref="D22:E22" si="5">SUM(D19:D21)</f>
        <v>-5.0896161949999987</v>
      </c>
      <c r="E22" s="29">
        <f t="shared" si="5"/>
        <v>1.1442555019999991</v>
      </c>
      <c r="G22" s="36" t="str">
        <f t="shared" si="0"/>
        <v>&lt;-100.0%</v>
      </c>
      <c r="H22" s="36" t="str">
        <f t="shared" si="0"/>
        <v>&lt;-100.0%</v>
      </c>
    </row>
    <row r="23" spans="2:8" x14ac:dyDescent="0.2">
      <c r="B23" s="28" t="s">
        <v>239</v>
      </c>
      <c r="C23" s="29">
        <f>SUMIF('2.1 Database'!$I:$I,'2.2 P&amp;L statement'!$B23,'2.1 Database'!F:F)/1000000</f>
        <v>-0.48846512199999997</v>
      </c>
      <c r="D23" s="29">
        <f>SUMIF('2.1 Database'!$I:$I,'2.2 P&amp;L statement'!$B23,'2.1 Database'!G:G)/1000000</f>
        <v>-0.98419196500000017</v>
      </c>
      <c r="E23" s="29">
        <f>SUMIF('2.1 Database'!$I:$I,'2.2 P&amp;L statement'!$B23,'2.1 Database'!H:H)/1000000</f>
        <v>-0.36496502599999997</v>
      </c>
      <c r="G23" s="35" t="str">
        <f t="shared" si="0"/>
        <v>&gt;100.0%</v>
      </c>
      <c r="H23" s="35">
        <f t="shared" si="0"/>
        <v>-0.62917292664546398</v>
      </c>
    </row>
    <row r="24" spans="2:8" ht="12.6" thickBot="1" x14ac:dyDescent="0.3">
      <c r="B24" s="32" t="s">
        <v>240</v>
      </c>
      <c r="C24" s="29">
        <f>SUM(C22:C23)</f>
        <v>2.9041179940000026</v>
      </c>
      <c r="D24" s="29">
        <f t="shared" ref="D24:E24" si="6">SUM(D22:D23)</f>
        <v>-6.0738081599999987</v>
      </c>
      <c r="E24" s="29">
        <f t="shared" si="6"/>
        <v>0.77929047599999923</v>
      </c>
      <c r="G24" s="38" t="str">
        <f t="shared" si="0"/>
        <v>&lt;-100.0%</v>
      </c>
      <c r="H24" s="38" t="str">
        <f t="shared" si="0"/>
        <v>&lt;-100.0%</v>
      </c>
    </row>
    <row r="26" spans="2:8" x14ac:dyDescent="0.2">
      <c r="B26" s="29" t="s">
        <v>249</v>
      </c>
      <c r="C26" s="29"/>
      <c r="D26" s="29"/>
      <c r="E26" s="29"/>
      <c r="F26" s="29"/>
      <c r="G26" s="29"/>
    </row>
    <row r="27" spans="2:8" x14ac:dyDescent="0.2">
      <c r="B27" s="33" t="s">
        <v>250</v>
      </c>
      <c r="C27" s="33"/>
      <c r="D27" s="33"/>
      <c r="E27" s="33"/>
      <c r="F27" s="29"/>
      <c r="G27" s="29"/>
    </row>
    <row r="28" spans="2:8" x14ac:dyDescent="0.2">
      <c r="B28" s="29"/>
      <c r="C28" s="29"/>
      <c r="D28" s="29"/>
      <c r="E28" s="29"/>
      <c r="F28" s="29"/>
      <c r="G28" s="29"/>
    </row>
    <row r="29" spans="2:8" x14ac:dyDescent="0.2">
      <c r="B29" s="39" t="s">
        <v>253</v>
      </c>
      <c r="C29" s="40">
        <f>C9/C7</f>
        <v>0.80329281353949789</v>
      </c>
      <c r="D29" s="40">
        <f t="shared" ref="D29:E29" si="7">D9/D7</f>
        <v>0.79014052477841912</v>
      </c>
      <c r="E29" s="40">
        <f t="shared" si="7"/>
        <v>0.78437246085651935</v>
      </c>
      <c r="F29" s="29"/>
      <c r="G29" s="29"/>
    </row>
    <row r="30" spans="2:8" x14ac:dyDescent="0.2">
      <c r="B30" s="39" t="s">
        <v>254</v>
      </c>
      <c r="C30" s="40">
        <f>C17/C7</f>
        <v>0.36878477758296191</v>
      </c>
      <c r="D30" s="40">
        <f t="shared" ref="D30:E30" si="8">D17/D7</f>
        <v>0.16301696811306118</v>
      </c>
      <c r="E30" s="40">
        <f t="shared" si="8"/>
        <v>0.20104802619916018</v>
      </c>
      <c r="F30" s="29"/>
      <c r="G30" s="29"/>
    </row>
    <row r="31" spans="2:8" x14ac:dyDescent="0.2">
      <c r="B31" s="39" t="s">
        <v>255</v>
      </c>
      <c r="C31" s="40">
        <f>C19/C7</f>
        <v>0.2779466397506159</v>
      </c>
      <c r="D31" s="40">
        <f t="shared" ref="D31:E31" si="9">D19/D7</f>
        <v>8.4499823378317393E-2</v>
      </c>
      <c r="E31" s="40">
        <f t="shared" si="9"/>
        <v>0.12928704033394345</v>
      </c>
      <c r="F31" s="29"/>
      <c r="G31" s="29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workbookViewId="0">
      <selection activeCell="F19" sqref="F19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12"/>
  <sheetViews>
    <sheetView topLeftCell="C1" workbookViewId="0">
      <selection activeCell="B11" sqref="B11"/>
    </sheetView>
  </sheetViews>
  <sheetFormatPr defaultColWidth="9.109375" defaultRowHeight="11.4" x14ac:dyDescent="0.2"/>
  <cols>
    <col min="1" max="1" width="2" style="2" customWidth="1"/>
    <col min="2" max="2" width="15.88671875" style="2" customWidth="1"/>
    <col min="3" max="16384" width="9.109375" style="2"/>
  </cols>
  <sheetData>
    <row r="1" spans="2:10" ht="15.6" x14ac:dyDescent="0.3">
      <c r="B1" s="3" t="s">
        <v>256</v>
      </c>
    </row>
    <row r="3" spans="2:10" ht="12.6" thickBot="1" x14ac:dyDescent="0.3">
      <c r="B3" s="41"/>
      <c r="C3" s="42" t="str">
        <f>'[1]2.2 P&amp;L statement'!C3</f>
        <v>FY16</v>
      </c>
      <c r="D3" s="42" t="str">
        <f>'[1]2.2 P&amp;L statement'!D3</f>
        <v>FY17</v>
      </c>
      <c r="E3" s="42" t="str">
        <f>'[1]2.2 P&amp;L statement'!E3</f>
        <v>FY18</v>
      </c>
    </row>
    <row r="4" spans="2:10" x14ac:dyDescent="0.2">
      <c r="B4" s="43" t="s">
        <v>230</v>
      </c>
      <c r="C4" s="29">
        <f>'2.2 P&amp;L statement'!C4</f>
        <v>14.500341000000001</v>
      </c>
      <c r="D4" s="29">
        <f>'2.2 P&amp;L statement'!D4</f>
        <v>16.148295364999999</v>
      </c>
      <c r="E4" s="29">
        <f>'2.2 P&amp;L statement'!E4</f>
        <v>15.047803019</v>
      </c>
    </row>
    <row r="5" spans="2:10" x14ac:dyDescent="0.2">
      <c r="B5" s="43" t="s">
        <v>67</v>
      </c>
      <c r="C5" s="29">
        <f>'2.2 P&amp;L statement'!C5</f>
        <v>4.7948561920000001</v>
      </c>
      <c r="D5" s="29">
        <f>'2.2 P&amp;L statement'!D5</f>
        <v>6.9602176449999993</v>
      </c>
      <c r="E5" s="29">
        <f>'2.2 P&amp;L statement'!E5</f>
        <v>6.3736175140000002</v>
      </c>
    </row>
    <row r="6" spans="2:10" x14ac:dyDescent="0.2">
      <c r="B6" s="43" t="s">
        <v>233</v>
      </c>
      <c r="C6" s="29">
        <f>'2.2 P&amp;L statement'!C6</f>
        <v>3.2200542519999997</v>
      </c>
      <c r="D6" s="29">
        <f>'2.2 P&amp;L statement'!D6</f>
        <v>2.9240919949999999</v>
      </c>
      <c r="E6" s="29">
        <f>'2.2 P&amp;L statement'!E6</f>
        <v>4.8931777299999997</v>
      </c>
    </row>
    <row r="7" spans="2:10" x14ac:dyDescent="0.2">
      <c r="B7" s="43" t="s">
        <v>253</v>
      </c>
      <c r="C7" s="45">
        <f>'2.2 P&amp;L statement'!C29</f>
        <v>0.80329281353949789</v>
      </c>
      <c r="D7" s="45">
        <f>'2.2 P&amp;L statement'!D29</f>
        <v>0.79014052477841912</v>
      </c>
      <c r="E7" s="45">
        <f>'2.2 P&amp;L statement'!E29</f>
        <v>0.78437246085651935</v>
      </c>
    </row>
    <row r="11" spans="2:10" x14ac:dyDescent="0.2">
      <c r="B11" s="2" t="s">
        <v>272</v>
      </c>
    </row>
    <row r="12" spans="2:10" x14ac:dyDescent="0.2">
      <c r="J12" s="2" t="s">
        <v>257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10"/>
  <sheetViews>
    <sheetView workbookViewId="0">
      <selection activeCell="B10" sqref="B10"/>
    </sheetView>
  </sheetViews>
  <sheetFormatPr defaultColWidth="9.109375" defaultRowHeight="11.4" x14ac:dyDescent="0.2"/>
  <cols>
    <col min="1" max="1" width="2" style="2" customWidth="1"/>
    <col min="2" max="2" width="18.6640625" style="2" bestFit="1" customWidth="1"/>
    <col min="3" max="16384" width="9.109375" style="2"/>
  </cols>
  <sheetData>
    <row r="1" spans="2:5" ht="15.6" x14ac:dyDescent="0.3">
      <c r="B1" s="3" t="s">
        <v>258</v>
      </c>
    </row>
    <row r="3" spans="2:5" ht="12.6" thickBot="1" x14ac:dyDescent="0.3">
      <c r="B3" s="41"/>
      <c r="C3" s="42" t="str">
        <f>'[2]2.2 P&amp;L statement'!C3</f>
        <v>FY16</v>
      </c>
      <c r="D3" s="42" t="str">
        <f>'[2]2.2 P&amp;L statement'!D3</f>
        <v>FY17</v>
      </c>
      <c r="E3" s="42" t="str">
        <f>'[2]2.2 P&amp;L statement'!E3</f>
        <v>FY18</v>
      </c>
    </row>
    <row r="4" spans="2:5" x14ac:dyDescent="0.2">
      <c r="B4" s="44" t="str">
        <f>'[2]2.2 P&amp;L statement'!B4</f>
        <v>Net Sales</v>
      </c>
      <c r="C4" s="29">
        <f>'2.2 P&amp;L statement'!C4</f>
        <v>14.500341000000001</v>
      </c>
      <c r="D4" s="29">
        <f>'2.2 P&amp;L statement'!D4</f>
        <v>16.148295364999999</v>
      </c>
      <c r="E4" s="29">
        <f>'2.2 P&amp;L statement'!E4</f>
        <v>15.047803019</v>
      </c>
    </row>
    <row r="5" spans="2:5" x14ac:dyDescent="0.2">
      <c r="B5" s="44" t="str">
        <f>'[2]2.2 P&amp;L statement'!B5</f>
        <v>Other revenues</v>
      </c>
      <c r="C5" s="29">
        <f>'2.2 P&amp;L statement'!C5</f>
        <v>4.7948561920000001</v>
      </c>
      <c r="D5" s="29">
        <f>'2.2 P&amp;L statement'!D5</f>
        <v>6.9602176449999993</v>
      </c>
      <c r="E5" s="29">
        <f>'2.2 P&amp;L statement'!E5</f>
        <v>6.3736175140000002</v>
      </c>
    </row>
    <row r="6" spans="2:5" x14ac:dyDescent="0.2">
      <c r="B6" s="44" t="str">
        <f>'[2]2.2 P&amp;L statement'!B6</f>
        <v>Recharges</v>
      </c>
      <c r="C6" s="29">
        <f>'2.2 P&amp;L statement'!C6</f>
        <v>3.2200542519999997</v>
      </c>
      <c r="D6" s="29">
        <f>'2.2 P&amp;L statement'!D6</f>
        <v>2.9240919949999999</v>
      </c>
      <c r="E6" s="29">
        <f>'2.2 P&amp;L statement'!E6</f>
        <v>4.8931777299999997</v>
      </c>
    </row>
    <row r="7" spans="2:5" x14ac:dyDescent="0.2">
      <c r="B7" s="43"/>
      <c r="C7" s="45"/>
      <c r="D7" s="45"/>
      <c r="E7" s="45"/>
    </row>
    <row r="8" spans="2:5" x14ac:dyDescent="0.2">
      <c r="B8" s="43"/>
      <c r="C8" s="43"/>
      <c r="D8" s="43"/>
      <c r="E8" s="43"/>
    </row>
    <row r="10" spans="2:5" x14ac:dyDescent="0.2">
      <c r="B10" s="2" t="s">
        <v>271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8"/>
  <sheetViews>
    <sheetView workbookViewId="0">
      <selection activeCell="B8" sqref="B8"/>
    </sheetView>
  </sheetViews>
  <sheetFormatPr defaultColWidth="9.109375" defaultRowHeight="11.4" x14ac:dyDescent="0.2"/>
  <cols>
    <col min="1" max="1" width="2" style="2" customWidth="1"/>
    <col min="2" max="2" width="20.33203125" style="2" bestFit="1" customWidth="1"/>
    <col min="3" max="16384" width="9.109375" style="2"/>
  </cols>
  <sheetData>
    <row r="1" spans="2:5" ht="15.6" x14ac:dyDescent="0.3">
      <c r="B1" s="3" t="s">
        <v>259</v>
      </c>
    </row>
    <row r="3" spans="2:5" ht="12.6" thickBot="1" x14ac:dyDescent="0.3">
      <c r="B3" s="41"/>
      <c r="C3" s="42" t="str">
        <f>'[3]2.2 P&amp;L statement'!C3</f>
        <v>FY16</v>
      </c>
      <c r="D3" s="42" t="str">
        <f>'[3]2.2 P&amp;L statement'!D3</f>
        <v>FY17</v>
      </c>
      <c r="E3" s="42" t="str">
        <f>'[3]2.2 P&amp;L statement'!E3</f>
        <v>FY18</v>
      </c>
    </row>
    <row r="4" spans="2:5" x14ac:dyDescent="0.2">
      <c r="B4" s="43" t="s">
        <v>260</v>
      </c>
      <c r="C4" s="44">
        <v>22.515251444</v>
      </c>
      <c r="D4" s="44">
        <v>26.032605005000001</v>
      </c>
      <c r="E4" s="44">
        <v>26.314598263000001</v>
      </c>
    </row>
    <row r="5" spans="2:5" x14ac:dyDescent="0.2">
      <c r="B5" s="2" t="s">
        <v>253</v>
      </c>
      <c r="C5" s="46">
        <v>0.80329281353949789</v>
      </c>
      <c r="D5" s="46">
        <v>0.79014052477841912</v>
      </c>
      <c r="E5" s="46">
        <v>0.78437246085651935</v>
      </c>
    </row>
    <row r="6" spans="2:5" x14ac:dyDescent="0.2">
      <c r="C6" s="47"/>
      <c r="D6" s="47"/>
      <c r="E6" s="47"/>
    </row>
    <row r="7" spans="2:5" x14ac:dyDescent="0.2">
      <c r="C7" s="47"/>
      <c r="D7" s="47"/>
      <c r="E7" s="47"/>
    </row>
    <row r="8" spans="2:5" x14ac:dyDescent="0.2">
      <c r="B8" s="2" t="s">
        <v>270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1048575"/>
  <sheetViews>
    <sheetView tabSelected="1" workbookViewId="0">
      <selection activeCell="E27" sqref="E27"/>
    </sheetView>
  </sheetViews>
  <sheetFormatPr defaultColWidth="9.109375" defaultRowHeight="11.4" x14ac:dyDescent="0.2"/>
  <cols>
    <col min="1" max="1" width="2" style="2" customWidth="1"/>
    <col min="2" max="2" width="20.44140625" style="2" bestFit="1" customWidth="1"/>
    <col min="3" max="3" width="11.33203125" style="44" customWidth="1"/>
    <col min="4" max="4" width="11.44140625" style="2" customWidth="1"/>
    <col min="5" max="5" width="9.33203125" style="2" customWidth="1"/>
    <col min="6" max="11" width="11.44140625" style="2" customWidth="1"/>
    <col min="12" max="16384" width="9.109375" style="2"/>
  </cols>
  <sheetData>
    <row r="1" spans="1:36" ht="15.6" x14ac:dyDescent="0.3">
      <c r="B1" s="3" t="s">
        <v>261</v>
      </c>
    </row>
    <row r="2" spans="1:36" x14ac:dyDescent="0.2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</row>
    <row r="3" spans="1:36" x14ac:dyDescent="0.2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</row>
    <row r="4" spans="1:36" x14ac:dyDescent="0.2">
      <c r="A4" s="29"/>
      <c r="B4" s="29" t="s">
        <v>262</v>
      </c>
      <c r="C4" s="29">
        <f>'2.2 P&amp;L statement'!D17</f>
        <v>4.2437563400000018</v>
      </c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</row>
    <row r="5" spans="1:36" x14ac:dyDescent="0.2">
      <c r="A5" s="29"/>
      <c r="B5" s="29" t="s">
        <v>263</v>
      </c>
      <c r="C5" s="29">
        <f>'2.2 P&amp;L statement'!E7-'2.2 P&amp;L statement'!D7</f>
        <v>0.28199325799999997</v>
      </c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</row>
    <row r="6" spans="1:36" ht="22.8" x14ac:dyDescent="0.2">
      <c r="A6" s="29"/>
      <c r="B6" s="48" t="s">
        <v>264</v>
      </c>
      <c r="C6" s="29">
        <f>'2.2 P&amp;L statement'!E8-'2.2 P&amp;L statement'!D8</f>
        <v>-0.21096324199999916</v>
      </c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</row>
    <row r="7" spans="1:36" x14ac:dyDescent="0.2">
      <c r="A7" s="29"/>
      <c r="B7" s="29" t="s">
        <v>265</v>
      </c>
      <c r="C7" s="29">
        <f>SUM('2.2 P&amp;L statement'!E9:E16)-SUM('2.2 P&amp;L statement'!D9:D16)</f>
        <v>1.0467417009999975</v>
      </c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</row>
    <row r="8" spans="1:36" x14ac:dyDescent="0.2">
      <c r="A8" s="29"/>
      <c r="B8" s="29" t="s">
        <v>266</v>
      </c>
      <c r="C8" s="29">
        <f>'2.2 P&amp;L statement'!E17</f>
        <v>5.2904980409999993</v>
      </c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</row>
    <row r="9" spans="1:36" x14ac:dyDescent="0.2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</row>
    <row r="10" spans="1:36" x14ac:dyDescent="0.2">
      <c r="A10" s="29"/>
      <c r="B10" s="33" t="s">
        <v>250</v>
      </c>
      <c r="C10" s="33">
        <f>SUM(C4:C7)-C8</f>
        <v>7.1030016000000806E-2</v>
      </c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</row>
    <row r="11" spans="1:36" x14ac:dyDescent="0.2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</row>
    <row r="12" spans="1:36" ht="14.4" x14ac:dyDescent="0.3">
      <c r="A12" s="29"/>
      <c r="B12" s="29"/>
      <c r="C12" s="29"/>
      <c r="D12" s="29"/>
      <c r="E12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</row>
    <row r="13" spans="1:36" x14ac:dyDescent="0.2">
      <c r="A13" s="29"/>
      <c r="B13" s="29" t="s">
        <v>273</v>
      </c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</row>
    <row r="14" spans="1:36" x14ac:dyDescent="0.2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</row>
    <row r="15" spans="1:36" x14ac:dyDescent="0.2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</row>
    <row r="16" spans="1:36" x14ac:dyDescent="0.2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</row>
    <row r="17" spans="1:36" x14ac:dyDescent="0.2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</row>
    <row r="18" spans="1:36" x14ac:dyDescent="0.2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</row>
    <row r="19" spans="1:36" x14ac:dyDescent="0.2">
      <c r="A19" s="29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</row>
    <row r="20" spans="1:36" x14ac:dyDescent="0.2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</row>
    <row r="21" spans="1:36" x14ac:dyDescent="0.2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</row>
    <row r="22" spans="1:36" x14ac:dyDescent="0.2">
      <c r="A22" s="29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</row>
    <row r="23" spans="1:36" x14ac:dyDescent="0.2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</row>
    <row r="24" spans="1:36" x14ac:dyDescent="0.2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</row>
    <row r="25" spans="1:36" x14ac:dyDescent="0.2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</row>
    <row r="26" spans="1:36" x14ac:dyDescent="0.2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</row>
    <row r="27" spans="1:36" x14ac:dyDescent="0.2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</row>
    <row r="28" spans="1:36" x14ac:dyDescent="0.2">
      <c r="A28" s="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</row>
    <row r="29" spans="1:36" x14ac:dyDescent="0.2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</row>
    <row r="30" spans="1:36" x14ac:dyDescent="0.2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</row>
    <row r="31" spans="1:36" x14ac:dyDescent="0.2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</row>
    <row r="32" spans="1:36" x14ac:dyDescent="0.2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</row>
    <row r="33" spans="1:36" x14ac:dyDescent="0.2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</row>
    <row r="34" spans="1:36" x14ac:dyDescent="0.2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</row>
    <row r="35" spans="1:36" x14ac:dyDescent="0.2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</row>
    <row r="36" spans="1:36" x14ac:dyDescent="0.2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</row>
    <row r="37" spans="1:36" x14ac:dyDescent="0.2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</row>
    <row r="38" spans="1:36" x14ac:dyDescent="0.2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</row>
    <row r="39" spans="1:36" x14ac:dyDescent="0.2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</row>
    <row r="40" spans="1:36" x14ac:dyDescent="0.2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</row>
    <row r="41" spans="1:36" x14ac:dyDescent="0.2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</row>
    <row r="42" spans="1:36" x14ac:dyDescent="0.2">
      <c r="A42" s="29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</row>
    <row r="43" spans="1:36" x14ac:dyDescent="0.2">
      <c r="A43" s="29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</row>
    <row r="44" spans="1:36" x14ac:dyDescent="0.2">
      <c r="A44" s="29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</row>
    <row r="45" spans="1:36" x14ac:dyDescent="0.2">
      <c r="A45" s="29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</row>
    <row r="46" spans="1:36" x14ac:dyDescent="0.2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</row>
    <row r="47" spans="1:36" x14ac:dyDescent="0.2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</row>
    <row r="48" spans="1:36" x14ac:dyDescent="0.2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</row>
    <row r="49" spans="1:36" x14ac:dyDescent="0.2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</row>
    <row r="50" spans="1:36" x14ac:dyDescent="0.2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</row>
    <row r="51" spans="1:36" x14ac:dyDescent="0.2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</row>
    <row r="52" spans="1:36" x14ac:dyDescent="0.2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</row>
    <row r="53" spans="1:36" x14ac:dyDescent="0.2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</row>
    <row r="54" spans="1:36" x14ac:dyDescent="0.2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</row>
    <row r="55" spans="1:36" x14ac:dyDescent="0.2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</row>
    <row r="56" spans="1:36" x14ac:dyDescent="0.2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</row>
    <row r="57" spans="1:36" x14ac:dyDescent="0.2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</row>
    <row r="58" spans="1:36" x14ac:dyDescent="0.2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</row>
    <row r="59" spans="1:36" x14ac:dyDescent="0.2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</row>
    <row r="60" spans="1:36" x14ac:dyDescent="0.2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</row>
    <row r="61" spans="1:36" x14ac:dyDescent="0.2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</row>
    <row r="62" spans="1:36" x14ac:dyDescent="0.2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</row>
    <row r="63" spans="1:36" x14ac:dyDescent="0.2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</row>
    <row r="64" spans="1:36" x14ac:dyDescent="0.2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</row>
    <row r="65" spans="1:36" x14ac:dyDescent="0.2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</row>
    <row r="66" spans="1:36" x14ac:dyDescent="0.2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</row>
    <row r="67" spans="1:36" x14ac:dyDescent="0.2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</row>
    <row r="68" spans="1:36" x14ac:dyDescent="0.2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</row>
    <row r="69" spans="1:36" x14ac:dyDescent="0.2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</row>
    <row r="70" spans="1:36" x14ac:dyDescent="0.2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</row>
    <row r="71" spans="1:36" x14ac:dyDescent="0.2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</row>
    <row r="72" spans="1:36" x14ac:dyDescent="0.2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</row>
    <row r="73" spans="1:36" x14ac:dyDescent="0.2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</row>
    <row r="74" spans="1:36" x14ac:dyDescent="0.2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</row>
    <row r="75" spans="1:36" x14ac:dyDescent="0.2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</row>
    <row r="76" spans="1:36" x14ac:dyDescent="0.2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</row>
    <row r="77" spans="1:36" x14ac:dyDescent="0.2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</row>
    <row r="78" spans="1:36" x14ac:dyDescent="0.2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</row>
    <row r="79" spans="1:36" x14ac:dyDescent="0.2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</row>
    <row r="80" spans="1:36" x14ac:dyDescent="0.2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</row>
    <row r="81" spans="1:36" x14ac:dyDescent="0.2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</row>
    <row r="82" spans="1:36" x14ac:dyDescent="0.2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</row>
    <row r="83" spans="1:36" x14ac:dyDescent="0.2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</row>
    <row r="84" spans="1:36" x14ac:dyDescent="0.2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</row>
    <row r="85" spans="1:36" x14ac:dyDescent="0.2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29"/>
      <c r="AF85" s="29"/>
      <c r="AG85" s="29"/>
      <c r="AH85" s="29"/>
      <c r="AI85" s="29"/>
      <c r="AJ85" s="29"/>
    </row>
    <row r="86" spans="1:36" x14ac:dyDescent="0.2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  <c r="AJ86" s="29"/>
    </row>
    <row r="87" spans="1:36" x14ac:dyDescent="0.2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  <c r="AJ87" s="29"/>
    </row>
    <row r="88" spans="1:36" x14ac:dyDescent="0.2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29"/>
      <c r="AF88" s="29"/>
      <c r="AG88" s="29"/>
      <c r="AH88" s="29"/>
      <c r="AI88" s="29"/>
      <c r="AJ88" s="29"/>
    </row>
    <row r="89" spans="1:36" x14ac:dyDescent="0.2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  <c r="AJ89" s="29"/>
    </row>
    <row r="90" spans="1:36" x14ac:dyDescent="0.2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29"/>
      <c r="AF90" s="29"/>
      <c r="AG90" s="29"/>
      <c r="AH90" s="29"/>
      <c r="AI90" s="29"/>
      <c r="AJ90" s="29"/>
    </row>
    <row r="91" spans="1:36" x14ac:dyDescent="0.2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29"/>
      <c r="AJ91" s="29"/>
    </row>
    <row r="92" spans="1:36" x14ac:dyDescent="0.2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  <c r="AH92" s="29"/>
      <c r="AI92" s="29"/>
      <c r="AJ92" s="29"/>
    </row>
    <row r="93" spans="1:36" x14ac:dyDescent="0.2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  <c r="AH93" s="29"/>
      <c r="AI93" s="29"/>
      <c r="AJ93" s="29"/>
    </row>
    <row r="94" spans="1:36" x14ac:dyDescent="0.2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  <c r="AH94" s="29"/>
      <c r="AI94" s="29"/>
      <c r="AJ94" s="29"/>
    </row>
    <row r="95" spans="1:36" x14ac:dyDescent="0.2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  <c r="AH95" s="29"/>
      <c r="AI95" s="29"/>
      <c r="AJ95" s="29"/>
    </row>
    <row r="96" spans="1:36" x14ac:dyDescent="0.2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29"/>
      <c r="AF96" s="29"/>
      <c r="AG96" s="29"/>
      <c r="AH96" s="29"/>
      <c r="AI96" s="29"/>
      <c r="AJ96" s="29"/>
    </row>
    <row r="97" spans="1:36" x14ac:dyDescent="0.2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</row>
    <row r="98" spans="1:36" x14ac:dyDescent="0.2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  <c r="AJ98" s="29"/>
    </row>
    <row r="99" spans="1:36" x14ac:dyDescent="0.2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29"/>
      <c r="AH99" s="29"/>
      <c r="AI99" s="29"/>
      <c r="AJ99" s="29"/>
    </row>
    <row r="100" spans="1:36" x14ac:dyDescent="0.2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29"/>
      <c r="AH100" s="29"/>
      <c r="AI100" s="29"/>
      <c r="AJ100" s="29"/>
    </row>
    <row r="101" spans="1:36" x14ac:dyDescent="0.2">
      <c r="A101" s="29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</row>
    <row r="102" spans="1:36" x14ac:dyDescent="0.2">
      <c r="A102" s="29"/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29"/>
      <c r="AH102" s="29"/>
      <c r="AI102" s="29"/>
      <c r="AJ102" s="29"/>
    </row>
    <row r="103" spans="1:36" x14ac:dyDescent="0.2">
      <c r="A103" s="29"/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29"/>
      <c r="AJ103" s="29"/>
    </row>
    <row r="104" spans="1:36" x14ac:dyDescent="0.2">
      <c r="A104" s="29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</row>
    <row r="105" spans="1:36" x14ac:dyDescent="0.2">
      <c r="A105" s="29"/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29"/>
      <c r="AH105" s="29"/>
      <c r="AI105" s="29"/>
      <c r="AJ105" s="29"/>
    </row>
    <row r="106" spans="1:36" x14ac:dyDescent="0.2">
      <c r="A106" s="29"/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  <c r="AH106" s="29"/>
      <c r="AI106" s="29"/>
      <c r="AJ106" s="29"/>
    </row>
    <row r="107" spans="1:36" x14ac:dyDescent="0.2">
      <c r="A107" s="29"/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29"/>
      <c r="AG107" s="29"/>
      <c r="AH107" s="29"/>
      <c r="AI107" s="29"/>
      <c r="AJ107" s="29"/>
    </row>
    <row r="108" spans="1:36" x14ac:dyDescent="0.2">
      <c r="A108" s="29"/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</row>
    <row r="109" spans="1:36" x14ac:dyDescent="0.2">
      <c r="A109" s="29"/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  <c r="AJ109" s="29"/>
    </row>
    <row r="110" spans="1:36" x14ac:dyDescent="0.2">
      <c r="A110" s="29"/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  <c r="AJ110" s="29"/>
    </row>
    <row r="111" spans="1:36" x14ac:dyDescent="0.2">
      <c r="A111" s="29"/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  <c r="AJ111" s="29"/>
    </row>
    <row r="112" spans="1:36" x14ac:dyDescent="0.2">
      <c r="A112" s="29"/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</row>
    <row r="113" spans="1:36" x14ac:dyDescent="0.2">
      <c r="A113" s="29"/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  <c r="AJ113" s="29"/>
    </row>
    <row r="114" spans="1:36" x14ac:dyDescent="0.2">
      <c r="A114" s="29"/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  <c r="AH114" s="29"/>
      <c r="AI114" s="29"/>
      <c r="AJ114" s="29"/>
    </row>
    <row r="115" spans="1:36" x14ac:dyDescent="0.2">
      <c r="A115" s="29"/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</row>
    <row r="116" spans="1:36" x14ac:dyDescent="0.2">
      <c r="A116" s="29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  <c r="AJ116" s="29"/>
    </row>
    <row r="117" spans="1:36" x14ac:dyDescent="0.2">
      <c r="A117" s="29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  <c r="AH117" s="29"/>
      <c r="AI117" s="29"/>
      <c r="AJ117" s="29"/>
    </row>
    <row r="118" spans="1:36" x14ac:dyDescent="0.2">
      <c r="A118" s="29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  <c r="AH118" s="29"/>
      <c r="AI118" s="29"/>
      <c r="AJ118" s="29"/>
    </row>
    <row r="119" spans="1:36" x14ac:dyDescent="0.2">
      <c r="A119" s="29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</row>
    <row r="120" spans="1:36" x14ac:dyDescent="0.2">
      <c r="A120" s="29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  <c r="AJ120" s="29"/>
    </row>
    <row r="121" spans="1:36" x14ac:dyDescent="0.2">
      <c r="A121" s="29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  <c r="AH121" s="29"/>
      <c r="AI121" s="29"/>
      <c r="AJ121" s="29"/>
    </row>
    <row r="122" spans="1:36" x14ac:dyDescent="0.2">
      <c r="A122" s="29"/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  <c r="AH122" s="29"/>
      <c r="AI122" s="29"/>
      <c r="AJ122" s="29"/>
    </row>
    <row r="123" spans="1:36" x14ac:dyDescent="0.2">
      <c r="A123" s="29"/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  <c r="AJ123" s="29"/>
    </row>
    <row r="124" spans="1:36" x14ac:dyDescent="0.2">
      <c r="A124" s="29"/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  <c r="AJ124" s="29"/>
    </row>
    <row r="125" spans="1:36" x14ac:dyDescent="0.2">
      <c r="A125" s="29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  <c r="AJ125" s="29"/>
    </row>
    <row r="126" spans="1:36" x14ac:dyDescent="0.2">
      <c r="A126" s="29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  <c r="AJ126" s="29"/>
    </row>
    <row r="127" spans="1:36" x14ac:dyDescent="0.2">
      <c r="A127" s="29"/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H127" s="29"/>
      <c r="AI127" s="29"/>
      <c r="AJ127" s="29"/>
    </row>
    <row r="128" spans="1:36" x14ac:dyDescent="0.2">
      <c r="A128" s="29"/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29"/>
      <c r="AI128" s="29"/>
      <c r="AJ128" s="29"/>
    </row>
    <row r="129" spans="1:36" x14ac:dyDescent="0.2">
      <c r="A129" s="29"/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29"/>
      <c r="AH129" s="29"/>
      <c r="AI129" s="29"/>
      <c r="AJ129" s="29"/>
    </row>
    <row r="130" spans="1:36" x14ac:dyDescent="0.2">
      <c r="A130" s="29"/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  <c r="AH130" s="29"/>
      <c r="AI130" s="29"/>
      <c r="AJ130" s="29"/>
    </row>
    <row r="131" spans="1:36" x14ac:dyDescent="0.2">
      <c r="A131" s="29"/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  <c r="AH131" s="29"/>
      <c r="AI131" s="29"/>
      <c r="AJ131" s="29"/>
    </row>
    <row r="132" spans="1:36" x14ac:dyDescent="0.2">
      <c r="A132" s="29"/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29"/>
      <c r="AF132" s="29"/>
      <c r="AG132" s="29"/>
      <c r="AH132" s="29"/>
      <c r="AI132" s="29"/>
      <c r="AJ132" s="29"/>
    </row>
    <row r="133" spans="1:36" x14ac:dyDescent="0.2">
      <c r="A133" s="29"/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</row>
    <row r="134" spans="1:36" x14ac:dyDescent="0.2">
      <c r="A134" s="29"/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</row>
    <row r="135" spans="1:36" x14ac:dyDescent="0.2">
      <c r="A135" s="29"/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</row>
    <row r="136" spans="1:36" x14ac:dyDescent="0.2">
      <c r="A136" s="29"/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</row>
    <row r="137" spans="1:36" x14ac:dyDescent="0.2">
      <c r="A137" s="29"/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</row>
    <row r="138" spans="1:36" x14ac:dyDescent="0.2">
      <c r="A138" s="29"/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</row>
    <row r="139" spans="1:36" x14ac:dyDescent="0.2">
      <c r="A139" s="29"/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</row>
    <row r="140" spans="1:36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</row>
    <row r="141" spans="1:36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</row>
    <row r="142" spans="1:36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</row>
    <row r="143" spans="1:36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</row>
    <row r="144" spans="1:36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</row>
    <row r="145" spans="1:36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</row>
    <row r="146" spans="1:36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</row>
    <row r="147" spans="1:36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</row>
    <row r="148" spans="1:36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</row>
    <row r="149" spans="1:36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</row>
    <row r="150" spans="1:36" x14ac:dyDescent="0.2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</row>
    <row r="151" spans="1:36" x14ac:dyDescent="0.2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</row>
    <row r="152" spans="1:36" x14ac:dyDescent="0.2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</row>
    <row r="153" spans="1:36" x14ac:dyDescent="0.2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</row>
    <row r="154" spans="1:36" x14ac:dyDescent="0.2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</row>
    <row r="155" spans="1:36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</row>
    <row r="156" spans="1:36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</row>
    <row r="157" spans="1:36" x14ac:dyDescent="0.2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</row>
    <row r="158" spans="1:36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</row>
    <row r="159" spans="1:36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</row>
    <row r="160" spans="1:36" x14ac:dyDescent="0.2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</row>
    <row r="161" spans="1:36" x14ac:dyDescent="0.2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</row>
    <row r="162" spans="1:36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</row>
    <row r="163" spans="1:36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</row>
    <row r="164" spans="1:36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</row>
    <row r="165" spans="1:36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</row>
    <row r="166" spans="1:36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</row>
    <row r="167" spans="1:36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</row>
    <row r="168" spans="1:36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</row>
    <row r="169" spans="1:36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</row>
    <row r="170" spans="1:36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</row>
    <row r="171" spans="1:36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</row>
    <row r="172" spans="1:36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</row>
    <row r="173" spans="1:36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</row>
    <row r="174" spans="1:36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</row>
    <row r="175" spans="1:36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</row>
    <row r="176" spans="1:36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</row>
    <row r="177" spans="1:36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</row>
    <row r="178" spans="1:36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</row>
    <row r="179" spans="1:36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</row>
    <row r="180" spans="1:36" x14ac:dyDescent="0.2">
      <c r="A180" s="29"/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</row>
    <row r="181" spans="1:36" x14ac:dyDescent="0.2">
      <c r="A181" s="29"/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</row>
    <row r="182" spans="1:36" x14ac:dyDescent="0.2">
      <c r="A182" s="29"/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</row>
    <row r="183" spans="1:36" x14ac:dyDescent="0.2">
      <c r="A183" s="29"/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29"/>
      <c r="AB183" s="29"/>
      <c r="AC183" s="29"/>
      <c r="AD183" s="29"/>
      <c r="AE183" s="29"/>
      <c r="AF183" s="29"/>
      <c r="AG183" s="29"/>
      <c r="AH183" s="29"/>
      <c r="AI183" s="29"/>
      <c r="AJ183" s="29"/>
    </row>
    <row r="184" spans="1:36" x14ac:dyDescent="0.2">
      <c r="A184" s="29"/>
      <c r="B184" s="29"/>
      <c r="C184" s="29"/>
      <c r="D184" s="29"/>
      <c r="E184" s="29"/>
      <c r="F184" s="29"/>
      <c r="G184" s="29"/>
      <c r="H184" s="29"/>
      <c r="I184" s="29"/>
      <c r="J184" s="29"/>
      <c r="K184" s="29"/>
      <c r="L184" s="29"/>
      <c r="M184" s="29"/>
      <c r="N184" s="29"/>
      <c r="O184" s="29"/>
      <c r="P184" s="29"/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29"/>
      <c r="AB184" s="29"/>
      <c r="AC184" s="29"/>
      <c r="AD184" s="29"/>
      <c r="AE184" s="29"/>
      <c r="AF184" s="29"/>
      <c r="AG184" s="29"/>
      <c r="AH184" s="29"/>
      <c r="AI184" s="29"/>
      <c r="AJ184" s="29"/>
    </row>
    <row r="185" spans="1:36" x14ac:dyDescent="0.2">
      <c r="A185" s="29"/>
      <c r="B185" s="29"/>
      <c r="C185" s="29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29"/>
      <c r="AB185" s="29"/>
      <c r="AC185" s="29"/>
      <c r="AD185" s="29"/>
      <c r="AE185" s="29"/>
      <c r="AF185" s="29"/>
      <c r="AG185" s="29"/>
      <c r="AH185" s="29"/>
      <c r="AI185" s="29"/>
      <c r="AJ185" s="29"/>
    </row>
    <row r="186" spans="1:36" x14ac:dyDescent="0.2">
      <c r="A186" s="29"/>
      <c r="B186" s="29"/>
      <c r="C186" s="29"/>
      <c r="D186" s="29"/>
      <c r="E186" s="29"/>
      <c r="F186" s="29"/>
      <c r="G186" s="29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29"/>
      <c r="AB186" s="29"/>
      <c r="AC186" s="29"/>
      <c r="AD186" s="29"/>
      <c r="AE186" s="29"/>
      <c r="AF186" s="29"/>
      <c r="AG186" s="29"/>
      <c r="AH186" s="29"/>
      <c r="AI186" s="29"/>
      <c r="AJ186" s="29"/>
    </row>
    <row r="187" spans="1:36" x14ac:dyDescent="0.2">
      <c r="A187" s="29"/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29"/>
      <c r="AB187" s="29"/>
      <c r="AC187" s="29"/>
      <c r="AD187" s="29"/>
      <c r="AE187" s="29"/>
      <c r="AF187" s="29"/>
      <c r="AG187" s="29"/>
      <c r="AH187" s="29"/>
      <c r="AI187" s="29"/>
      <c r="AJ187" s="29"/>
    </row>
    <row r="188" spans="1:36" x14ac:dyDescent="0.2">
      <c r="A188" s="29"/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29"/>
      <c r="AB188" s="29"/>
      <c r="AC188" s="29"/>
      <c r="AD188" s="29"/>
      <c r="AE188" s="29"/>
      <c r="AF188" s="29"/>
      <c r="AG188" s="29"/>
      <c r="AH188" s="29"/>
      <c r="AI188" s="29"/>
      <c r="AJ188" s="29"/>
    </row>
    <row r="189" spans="1:36" x14ac:dyDescent="0.2">
      <c r="A189" s="29"/>
      <c r="B189" s="29"/>
      <c r="C189" s="29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29"/>
      <c r="AB189" s="29"/>
      <c r="AC189" s="29"/>
      <c r="AD189" s="29"/>
      <c r="AE189" s="29"/>
      <c r="AF189" s="29"/>
      <c r="AG189" s="29"/>
      <c r="AH189" s="29"/>
      <c r="AI189" s="29"/>
      <c r="AJ189" s="29"/>
    </row>
    <row r="190" spans="1:36" x14ac:dyDescent="0.2">
      <c r="A190" s="29"/>
      <c r="B190" s="29"/>
      <c r="C190" s="29"/>
      <c r="D190" s="29"/>
      <c r="E190" s="29"/>
      <c r="F190" s="29"/>
      <c r="G190" s="29"/>
      <c r="H190" s="29"/>
      <c r="I190" s="29"/>
      <c r="J190" s="29"/>
      <c r="K190" s="29"/>
      <c r="L190" s="29"/>
      <c r="M190" s="29"/>
      <c r="N190" s="29"/>
      <c r="O190" s="29"/>
      <c r="P190" s="29"/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29"/>
      <c r="AB190" s="29"/>
      <c r="AC190" s="29"/>
      <c r="AD190" s="29"/>
      <c r="AE190" s="29"/>
      <c r="AF190" s="29"/>
      <c r="AG190" s="29"/>
      <c r="AH190" s="29"/>
      <c r="AI190" s="29"/>
      <c r="AJ190" s="29"/>
    </row>
    <row r="191" spans="1:36" x14ac:dyDescent="0.2">
      <c r="A191" s="29"/>
      <c r="B191" s="29"/>
      <c r="C191" s="29"/>
      <c r="D191" s="29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29"/>
      <c r="AB191" s="29"/>
      <c r="AC191" s="29"/>
      <c r="AD191" s="29"/>
      <c r="AE191" s="29"/>
      <c r="AF191" s="29"/>
      <c r="AG191" s="29"/>
      <c r="AH191" s="29"/>
      <c r="AI191" s="29"/>
      <c r="AJ191" s="29"/>
    </row>
    <row r="192" spans="1:36" x14ac:dyDescent="0.2">
      <c r="A192" s="29"/>
      <c r="B192" s="29"/>
      <c r="C192" s="29"/>
      <c r="D192" s="29"/>
      <c r="E192" s="29"/>
      <c r="F192" s="29"/>
      <c r="G192" s="29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29"/>
      <c r="AB192" s="29"/>
      <c r="AC192" s="29"/>
      <c r="AD192" s="29"/>
      <c r="AE192" s="29"/>
      <c r="AF192" s="29"/>
      <c r="AG192" s="29"/>
      <c r="AH192" s="29"/>
      <c r="AI192" s="29"/>
      <c r="AJ192" s="29"/>
    </row>
    <row r="193" spans="1:36" x14ac:dyDescent="0.2">
      <c r="A193" s="29"/>
      <c r="B193" s="29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  <c r="O193" s="29"/>
      <c r="P193" s="29"/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29"/>
      <c r="AB193" s="29"/>
      <c r="AC193" s="29"/>
      <c r="AD193" s="29"/>
      <c r="AE193" s="29"/>
      <c r="AF193" s="29"/>
      <c r="AG193" s="29"/>
      <c r="AH193" s="29"/>
      <c r="AI193" s="29"/>
      <c r="AJ193" s="29"/>
    </row>
    <row r="194" spans="1:36" x14ac:dyDescent="0.2">
      <c r="A194" s="29"/>
      <c r="B194" s="29"/>
      <c r="C194" s="29"/>
      <c r="D194" s="29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29"/>
      <c r="AB194" s="29"/>
      <c r="AC194" s="29"/>
      <c r="AD194" s="29"/>
      <c r="AE194" s="29"/>
      <c r="AF194" s="29"/>
      <c r="AG194" s="29"/>
      <c r="AH194" s="29"/>
      <c r="AI194" s="29"/>
      <c r="AJ194" s="29"/>
    </row>
    <row r="195" spans="1:36" x14ac:dyDescent="0.2">
      <c r="A195" s="29"/>
      <c r="B195" s="29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29"/>
      <c r="AB195" s="29"/>
      <c r="AC195" s="29"/>
      <c r="AD195" s="29"/>
      <c r="AE195" s="29"/>
      <c r="AF195" s="29"/>
      <c r="AG195" s="29"/>
      <c r="AH195" s="29"/>
      <c r="AI195" s="29"/>
      <c r="AJ195" s="29"/>
    </row>
    <row r="196" spans="1:36" x14ac:dyDescent="0.2">
      <c r="A196" s="29"/>
      <c r="B196" s="29"/>
      <c r="C196" s="29"/>
      <c r="D196" s="29"/>
      <c r="E196" s="29"/>
      <c r="F196" s="29"/>
      <c r="G196" s="29"/>
      <c r="H196" s="29"/>
      <c r="I196" s="29"/>
      <c r="J196" s="29"/>
      <c r="K196" s="29"/>
      <c r="L196" s="29"/>
      <c r="M196" s="29"/>
      <c r="N196" s="29"/>
      <c r="O196" s="29"/>
      <c r="P196" s="29"/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29"/>
      <c r="AB196" s="29"/>
      <c r="AC196" s="29"/>
      <c r="AD196" s="29"/>
      <c r="AE196" s="29"/>
      <c r="AF196" s="29"/>
      <c r="AG196" s="29"/>
      <c r="AH196" s="29"/>
      <c r="AI196" s="29"/>
      <c r="AJ196" s="29"/>
    </row>
    <row r="197" spans="1:36" x14ac:dyDescent="0.2">
      <c r="A197" s="29"/>
      <c r="B197" s="29"/>
      <c r="C197" s="29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29"/>
      <c r="AB197" s="29"/>
      <c r="AC197" s="29"/>
      <c r="AD197" s="29"/>
      <c r="AE197" s="29"/>
      <c r="AF197" s="29"/>
      <c r="AG197" s="29"/>
      <c r="AH197" s="29"/>
      <c r="AI197" s="29"/>
      <c r="AJ197" s="29"/>
    </row>
    <row r="198" spans="1:36" x14ac:dyDescent="0.2">
      <c r="A198" s="29"/>
      <c r="B198" s="29"/>
      <c r="C198" s="29"/>
      <c r="D198" s="29"/>
      <c r="E198" s="29"/>
      <c r="F198" s="29"/>
      <c r="G198" s="29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29"/>
      <c r="AB198" s="29"/>
      <c r="AC198" s="29"/>
      <c r="AD198" s="29"/>
      <c r="AE198" s="29"/>
      <c r="AF198" s="29"/>
      <c r="AG198" s="29"/>
      <c r="AH198" s="29"/>
      <c r="AI198" s="29"/>
      <c r="AJ198" s="29"/>
    </row>
    <row r="199" spans="1:36" x14ac:dyDescent="0.2">
      <c r="A199" s="29"/>
      <c r="B199" s="29"/>
      <c r="C199" s="29"/>
      <c r="D199" s="29"/>
      <c r="E199" s="29"/>
      <c r="F199" s="29"/>
      <c r="G199" s="29"/>
      <c r="H199" s="29"/>
      <c r="I199" s="29"/>
      <c r="J199" s="29"/>
      <c r="K199" s="29"/>
      <c r="L199" s="29"/>
      <c r="M199" s="29"/>
      <c r="N199" s="29"/>
      <c r="O199" s="29"/>
      <c r="P199" s="29"/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29"/>
      <c r="AB199" s="29"/>
      <c r="AC199" s="29"/>
      <c r="AD199" s="29"/>
      <c r="AE199" s="29"/>
      <c r="AF199" s="29"/>
      <c r="AG199" s="29"/>
      <c r="AH199" s="29"/>
      <c r="AI199" s="29"/>
      <c r="AJ199" s="29"/>
    </row>
    <row r="200" spans="1:36" x14ac:dyDescent="0.2">
      <c r="A200" s="29"/>
      <c r="B200" s="29"/>
      <c r="C200" s="29"/>
      <c r="D200" s="29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29"/>
      <c r="AB200" s="29"/>
      <c r="AC200" s="29"/>
      <c r="AD200" s="29"/>
      <c r="AE200" s="29"/>
      <c r="AF200" s="29"/>
      <c r="AG200" s="29"/>
      <c r="AH200" s="29"/>
      <c r="AI200" s="29"/>
      <c r="AJ200" s="29"/>
    </row>
    <row r="201" spans="1:36" x14ac:dyDescent="0.2">
      <c r="A201" s="29"/>
      <c r="B201" s="29"/>
      <c r="C201" s="29"/>
      <c r="D201" s="29"/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29"/>
      <c r="AB201" s="29"/>
      <c r="AC201" s="29"/>
      <c r="AD201" s="29"/>
      <c r="AE201" s="29"/>
      <c r="AF201" s="29"/>
      <c r="AG201" s="29"/>
      <c r="AH201" s="29"/>
      <c r="AI201" s="29"/>
      <c r="AJ201" s="29"/>
    </row>
    <row r="202" spans="1:36" x14ac:dyDescent="0.2">
      <c r="A202" s="29"/>
      <c r="B202" s="29"/>
      <c r="C202" s="29"/>
      <c r="D202" s="29"/>
      <c r="E202" s="29"/>
      <c r="F202" s="29"/>
      <c r="G202" s="29"/>
      <c r="H202" s="29"/>
      <c r="I202" s="29"/>
      <c r="J202" s="29"/>
      <c r="K202" s="29"/>
      <c r="L202" s="29"/>
      <c r="M202" s="29"/>
      <c r="N202" s="29"/>
      <c r="O202" s="29"/>
      <c r="P202" s="29"/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29"/>
      <c r="AB202" s="29"/>
      <c r="AC202" s="29"/>
      <c r="AD202" s="29"/>
      <c r="AE202" s="29"/>
      <c r="AF202" s="29"/>
      <c r="AG202" s="29"/>
      <c r="AH202" s="29"/>
      <c r="AI202" s="29"/>
      <c r="AJ202" s="29"/>
    </row>
    <row r="203" spans="1:36" x14ac:dyDescent="0.2">
      <c r="A203" s="29"/>
      <c r="B203" s="29"/>
      <c r="C203" s="29"/>
      <c r="D203" s="29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29"/>
      <c r="AB203" s="29"/>
      <c r="AC203" s="29"/>
      <c r="AD203" s="29"/>
      <c r="AE203" s="29"/>
      <c r="AF203" s="29"/>
      <c r="AG203" s="29"/>
      <c r="AH203" s="29"/>
      <c r="AI203" s="29"/>
      <c r="AJ203" s="29"/>
    </row>
    <row r="204" spans="1:36" x14ac:dyDescent="0.2">
      <c r="A204" s="29"/>
      <c r="B204" s="29"/>
      <c r="C204" s="29"/>
      <c r="D204" s="29"/>
      <c r="E204" s="29"/>
      <c r="F204" s="29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29"/>
      <c r="AB204" s="29"/>
      <c r="AC204" s="29"/>
      <c r="AD204" s="29"/>
      <c r="AE204" s="29"/>
      <c r="AF204" s="29"/>
      <c r="AG204" s="29"/>
      <c r="AH204" s="29"/>
      <c r="AI204" s="29"/>
      <c r="AJ204" s="29"/>
    </row>
    <row r="205" spans="1:36" x14ac:dyDescent="0.2">
      <c r="A205" s="29"/>
      <c r="B205" s="29"/>
      <c r="C205" s="29"/>
      <c r="D205" s="29"/>
      <c r="E205" s="29"/>
      <c r="F205" s="29"/>
      <c r="G205" s="29"/>
      <c r="H205" s="29"/>
      <c r="I205" s="29"/>
      <c r="J205" s="29"/>
      <c r="K205" s="29"/>
      <c r="L205" s="29"/>
      <c r="M205" s="29"/>
      <c r="N205" s="29"/>
      <c r="O205" s="29"/>
      <c r="P205" s="29"/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29"/>
      <c r="AB205" s="29"/>
      <c r="AC205" s="29"/>
      <c r="AD205" s="29"/>
      <c r="AE205" s="29"/>
      <c r="AF205" s="29"/>
      <c r="AG205" s="29"/>
      <c r="AH205" s="29"/>
      <c r="AI205" s="29"/>
      <c r="AJ205" s="29"/>
    </row>
    <row r="206" spans="1:36" x14ac:dyDescent="0.2">
      <c r="A206" s="29"/>
      <c r="B206" s="29"/>
      <c r="C206" s="29"/>
      <c r="D206" s="29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29"/>
      <c r="AB206" s="29"/>
      <c r="AC206" s="29"/>
      <c r="AD206" s="29"/>
      <c r="AE206" s="29"/>
      <c r="AF206" s="29"/>
      <c r="AG206" s="29"/>
      <c r="AH206" s="29"/>
      <c r="AI206" s="29"/>
      <c r="AJ206" s="29"/>
    </row>
    <row r="207" spans="1:36" x14ac:dyDescent="0.2">
      <c r="A207" s="29"/>
      <c r="B207" s="29"/>
      <c r="C207" s="29"/>
      <c r="D207" s="29"/>
      <c r="E207" s="29"/>
      <c r="F207" s="29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29"/>
      <c r="AB207" s="29"/>
      <c r="AC207" s="29"/>
      <c r="AD207" s="29"/>
      <c r="AE207" s="29"/>
      <c r="AF207" s="29"/>
      <c r="AG207" s="29"/>
      <c r="AH207" s="29"/>
      <c r="AI207" s="29"/>
      <c r="AJ207" s="29"/>
    </row>
    <row r="208" spans="1:36" x14ac:dyDescent="0.2">
      <c r="A208" s="29"/>
      <c r="B208" s="29"/>
      <c r="C208" s="29"/>
      <c r="D208" s="29"/>
      <c r="E208" s="29"/>
      <c r="F208" s="29"/>
      <c r="G208" s="29"/>
      <c r="H208" s="29"/>
      <c r="I208" s="29"/>
      <c r="J208" s="29"/>
      <c r="K208" s="29"/>
      <c r="L208" s="29"/>
      <c r="M208" s="29"/>
      <c r="N208" s="29"/>
      <c r="O208" s="29"/>
      <c r="P208" s="29"/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29"/>
      <c r="AB208" s="29"/>
      <c r="AC208" s="29"/>
      <c r="AD208" s="29"/>
      <c r="AE208" s="29"/>
      <c r="AF208" s="29"/>
      <c r="AG208" s="29"/>
      <c r="AH208" s="29"/>
      <c r="AI208" s="29"/>
      <c r="AJ208" s="29"/>
    </row>
    <row r="209" spans="1:36" x14ac:dyDescent="0.2">
      <c r="A209" s="29"/>
      <c r="B209" s="29"/>
      <c r="C209" s="29"/>
      <c r="D209" s="29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29"/>
      <c r="AB209" s="29"/>
      <c r="AC209" s="29"/>
      <c r="AD209" s="29"/>
      <c r="AE209" s="29"/>
      <c r="AF209" s="29"/>
      <c r="AG209" s="29"/>
      <c r="AH209" s="29"/>
      <c r="AI209" s="29"/>
      <c r="AJ209" s="29"/>
    </row>
    <row r="210" spans="1:36" x14ac:dyDescent="0.2">
      <c r="A210" s="29"/>
      <c r="B210" s="29"/>
      <c r="C210" s="29"/>
      <c r="D210" s="29"/>
      <c r="E210" s="29"/>
      <c r="F210" s="29"/>
      <c r="G210" s="29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29"/>
      <c r="AB210" s="29"/>
      <c r="AC210" s="29"/>
      <c r="AD210" s="29"/>
      <c r="AE210" s="29"/>
      <c r="AF210" s="29"/>
      <c r="AG210" s="29"/>
      <c r="AH210" s="29"/>
      <c r="AI210" s="29"/>
      <c r="AJ210" s="29"/>
    </row>
    <row r="211" spans="1:36" x14ac:dyDescent="0.2">
      <c r="A211" s="29"/>
      <c r="B211" s="29"/>
      <c r="C211" s="29"/>
      <c r="D211" s="29"/>
      <c r="E211" s="29"/>
      <c r="F211" s="29"/>
      <c r="G211" s="29"/>
      <c r="H211" s="29"/>
      <c r="I211" s="29"/>
      <c r="J211" s="29"/>
      <c r="K211" s="29"/>
      <c r="L211" s="29"/>
      <c r="M211" s="29"/>
      <c r="N211" s="29"/>
      <c r="O211" s="29"/>
      <c r="P211" s="29"/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29"/>
      <c r="AB211" s="29"/>
      <c r="AC211" s="29"/>
      <c r="AD211" s="29"/>
      <c r="AE211" s="29"/>
      <c r="AF211" s="29"/>
      <c r="AG211" s="29"/>
      <c r="AH211" s="29"/>
      <c r="AI211" s="29"/>
      <c r="AJ211" s="29"/>
    </row>
    <row r="212" spans="1:36" x14ac:dyDescent="0.2">
      <c r="A212" s="29"/>
      <c r="B212" s="29"/>
      <c r="C212" s="29"/>
      <c r="D212" s="29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29"/>
      <c r="AB212" s="29"/>
      <c r="AC212" s="29"/>
      <c r="AD212" s="29"/>
      <c r="AE212" s="29"/>
      <c r="AF212" s="29"/>
      <c r="AG212" s="29"/>
      <c r="AH212" s="29"/>
      <c r="AI212" s="29"/>
      <c r="AJ212" s="29"/>
    </row>
    <row r="213" spans="1:36" x14ac:dyDescent="0.2">
      <c r="A213" s="29"/>
      <c r="B213" s="29"/>
      <c r="C213" s="29"/>
      <c r="D213" s="29"/>
      <c r="E213" s="29"/>
      <c r="F213" s="29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29"/>
      <c r="AB213" s="29"/>
      <c r="AC213" s="29"/>
      <c r="AD213" s="29"/>
      <c r="AE213" s="29"/>
      <c r="AF213" s="29"/>
      <c r="AG213" s="29"/>
      <c r="AH213" s="29"/>
      <c r="AI213" s="29"/>
      <c r="AJ213" s="29"/>
    </row>
    <row r="214" spans="1:36" x14ac:dyDescent="0.2">
      <c r="A214" s="29"/>
      <c r="B214" s="29"/>
      <c r="C214" s="29"/>
      <c r="D214" s="29"/>
      <c r="E214" s="29"/>
      <c r="F214" s="29"/>
      <c r="G214" s="29"/>
      <c r="H214" s="29"/>
      <c r="I214" s="29"/>
      <c r="J214" s="29"/>
      <c r="K214" s="29"/>
      <c r="L214" s="29"/>
      <c r="M214" s="29"/>
      <c r="N214" s="29"/>
      <c r="O214" s="29"/>
      <c r="P214" s="29"/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29"/>
      <c r="AB214" s="29"/>
      <c r="AC214" s="29"/>
      <c r="AD214" s="29"/>
      <c r="AE214" s="29"/>
      <c r="AF214" s="29"/>
      <c r="AG214" s="29"/>
      <c r="AH214" s="29"/>
      <c r="AI214" s="29"/>
      <c r="AJ214" s="29"/>
    </row>
    <row r="215" spans="1:36" x14ac:dyDescent="0.2">
      <c r="A215" s="29"/>
      <c r="B215" s="29"/>
      <c r="C215" s="29"/>
      <c r="D215" s="29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29"/>
      <c r="AB215" s="29"/>
      <c r="AC215" s="29"/>
      <c r="AD215" s="29"/>
      <c r="AE215" s="29"/>
      <c r="AF215" s="29"/>
      <c r="AG215" s="29"/>
      <c r="AH215" s="29"/>
      <c r="AI215" s="29"/>
      <c r="AJ215" s="29"/>
    </row>
    <row r="216" spans="1:36" x14ac:dyDescent="0.2">
      <c r="A216" s="29"/>
      <c r="B216" s="29"/>
      <c r="C216" s="29"/>
      <c r="D216" s="29"/>
      <c r="E216" s="29"/>
      <c r="F216" s="29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29"/>
      <c r="AB216" s="29"/>
      <c r="AC216" s="29"/>
      <c r="AD216" s="29"/>
      <c r="AE216" s="29"/>
      <c r="AF216" s="29"/>
      <c r="AG216" s="29"/>
      <c r="AH216" s="29"/>
      <c r="AI216" s="29"/>
      <c r="AJ216" s="29"/>
    </row>
    <row r="217" spans="1:36" x14ac:dyDescent="0.2">
      <c r="A217" s="29"/>
      <c r="B217" s="29"/>
      <c r="C217" s="29"/>
      <c r="D217" s="29"/>
      <c r="E217" s="29"/>
      <c r="F217" s="29"/>
      <c r="G217" s="29"/>
      <c r="H217" s="29"/>
      <c r="I217" s="29"/>
      <c r="J217" s="29"/>
      <c r="K217" s="29"/>
      <c r="L217" s="29"/>
      <c r="M217" s="29"/>
      <c r="N217" s="29"/>
      <c r="O217" s="29"/>
      <c r="P217" s="29"/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29"/>
      <c r="AB217" s="29"/>
      <c r="AC217" s="29"/>
      <c r="AD217" s="29"/>
      <c r="AE217" s="29"/>
      <c r="AF217" s="29"/>
      <c r="AG217" s="29"/>
      <c r="AH217" s="29"/>
      <c r="AI217" s="29"/>
      <c r="AJ217" s="29"/>
    </row>
    <row r="218" spans="1:36" x14ac:dyDescent="0.2">
      <c r="A218" s="29"/>
      <c r="B218" s="29"/>
      <c r="C218" s="29"/>
      <c r="D218" s="29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29"/>
      <c r="AB218" s="29"/>
      <c r="AC218" s="29"/>
      <c r="AD218" s="29"/>
      <c r="AE218" s="29"/>
      <c r="AF218" s="29"/>
      <c r="AG218" s="29"/>
      <c r="AH218" s="29"/>
      <c r="AI218" s="29"/>
      <c r="AJ218" s="29"/>
    </row>
    <row r="219" spans="1:36" x14ac:dyDescent="0.2">
      <c r="A219" s="29"/>
      <c r="B219" s="29"/>
      <c r="C219" s="29"/>
      <c r="D219" s="29"/>
      <c r="E219" s="29"/>
      <c r="F219" s="29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29"/>
      <c r="AB219" s="29"/>
      <c r="AC219" s="29"/>
      <c r="AD219" s="29"/>
      <c r="AE219" s="29"/>
      <c r="AF219" s="29"/>
      <c r="AG219" s="29"/>
      <c r="AH219" s="29"/>
      <c r="AI219" s="29"/>
      <c r="AJ219" s="29"/>
    </row>
    <row r="220" spans="1:36" x14ac:dyDescent="0.2">
      <c r="A220" s="29"/>
      <c r="B220" s="29"/>
      <c r="C220" s="29"/>
      <c r="D220" s="29"/>
      <c r="E220" s="29"/>
      <c r="F220" s="29"/>
      <c r="G220" s="29"/>
      <c r="H220" s="29"/>
      <c r="I220" s="29"/>
      <c r="J220" s="29"/>
      <c r="K220" s="29"/>
      <c r="L220" s="29"/>
      <c r="M220" s="29"/>
      <c r="N220" s="29"/>
      <c r="O220" s="29"/>
      <c r="P220" s="29"/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29"/>
      <c r="AB220" s="29"/>
      <c r="AC220" s="29"/>
      <c r="AD220" s="29"/>
      <c r="AE220" s="29"/>
      <c r="AF220" s="29"/>
      <c r="AG220" s="29"/>
      <c r="AH220" s="29"/>
      <c r="AI220" s="29"/>
      <c r="AJ220" s="29"/>
    </row>
    <row r="221" spans="1:36" x14ac:dyDescent="0.2">
      <c r="A221" s="29"/>
      <c r="B221" s="29"/>
      <c r="C221" s="29"/>
      <c r="D221" s="29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29"/>
      <c r="AB221" s="29"/>
      <c r="AC221" s="29"/>
      <c r="AD221" s="29"/>
      <c r="AE221" s="29"/>
      <c r="AF221" s="29"/>
      <c r="AG221" s="29"/>
      <c r="AH221" s="29"/>
      <c r="AI221" s="29"/>
      <c r="AJ221" s="29"/>
    </row>
    <row r="222" spans="1:36" x14ac:dyDescent="0.2">
      <c r="A222" s="29"/>
      <c r="B222" s="29"/>
      <c r="C222" s="29"/>
      <c r="D222" s="29"/>
      <c r="E222" s="29"/>
      <c r="F222" s="29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29"/>
      <c r="AB222" s="29"/>
      <c r="AC222" s="29"/>
      <c r="AD222" s="29"/>
      <c r="AE222" s="29"/>
      <c r="AF222" s="29"/>
      <c r="AG222" s="29"/>
      <c r="AH222" s="29"/>
      <c r="AI222" s="29"/>
      <c r="AJ222" s="29"/>
    </row>
    <row r="223" spans="1:36" x14ac:dyDescent="0.2">
      <c r="A223" s="29"/>
      <c r="B223" s="29"/>
      <c r="C223" s="29"/>
      <c r="D223" s="29"/>
      <c r="E223" s="29"/>
      <c r="F223" s="29"/>
      <c r="G223" s="29"/>
      <c r="H223" s="29"/>
      <c r="I223" s="29"/>
      <c r="J223" s="29"/>
      <c r="K223" s="29"/>
      <c r="L223" s="29"/>
      <c r="M223" s="29"/>
      <c r="N223" s="29"/>
      <c r="O223" s="29"/>
      <c r="P223" s="29"/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29"/>
      <c r="AB223" s="29"/>
      <c r="AC223" s="29"/>
      <c r="AD223" s="29"/>
      <c r="AE223" s="29"/>
      <c r="AF223" s="29"/>
      <c r="AG223" s="29"/>
      <c r="AH223" s="29"/>
      <c r="AI223" s="29"/>
      <c r="AJ223" s="29"/>
    </row>
    <row r="224" spans="1:36" x14ac:dyDescent="0.2">
      <c r="A224" s="29"/>
      <c r="B224" s="29"/>
      <c r="C224" s="29"/>
      <c r="D224" s="29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29"/>
      <c r="AB224" s="29"/>
      <c r="AC224" s="29"/>
      <c r="AD224" s="29"/>
      <c r="AE224" s="29"/>
      <c r="AF224" s="29"/>
      <c r="AG224" s="29"/>
      <c r="AH224" s="29"/>
      <c r="AI224" s="29"/>
      <c r="AJ224" s="29"/>
    </row>
    <row r="225" spans="1:36" x14ac:dyDescent="0.2">
      <c r="A225" s="29"/>
      <c r="B225" s="29"/>
      <c r="C225" s="29"/>
      <c r="D225" s="29"/>
      <c r="E225" s="29"/>
      <c r="F225" s="29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29"/>
      <c r="AB225" s="29"/>
      <c r="AC225" s="29"/>
      <c r="AD225" s="29"/>
      <c r="AE225" s="29"/>
      <c r="AF225" s="29"/>
      <c r="AG225" s="29"/>
      <c r="AH225" s="29"/>
      <c r="AI225" s="29"/>
      <c r="AJ225" s="29"/>
    </row>
    <row r="226" spans="1:36" x14ac:dyDescent="0.2">
      <c r="A226" s="29"/>
      <c r="B226" s="29"/>
      <c r="C226" s="29"/>
      <c r="D226" s="29"/>
      <c r="E226" s="29"/>
      <c r="F226" s="29"/>
      <c r="G226" s="29"/>
      <c r="H226" s="29"/>
      <c r="I226" s="29"/>
      <c r="J226" s="29"/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29"/>
      <c r="AB226" s="29"/>
      <c r="AC226" s="29"/>
      <c r="AD226" s="29"/>
      <c r="AE226" s="29"/>
      <c r="AF226" s="29"/>
      <c r="AG226" s="29"/>
      <c r="AH226" s="29"/>
      <c r="AI226" s="29"/>
      <c r="AJ226" s="29"/>
    </row>
    <row r="227" spans="1:36" x14ac:dyDescent="0.2">
      <c r="A227" s="29"/>
      <c r="B227" s="29"/>
      <c r="C227" s="29"/>
      <c r="D227" s="29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29"/>
      <c r="AB227" s="29"/>
      <c r="AC227" s="29"/>
      <c r="AD227" s="29"/>
      <c r="AE227" s="29"/>
      <c r="AF227" s="29"/>
      <c r="AG227" s="29"/>
      <c r="AH227" s="29"/>
      <c r="AI227" s="29"/>
      <c r="AJ227" s="29"/>
    </row>
    <row r="228" spans="1:36" x14ac:dyDescent="0.2">
      <c r="A228" s="29"/>
      <c r="B228" s="29"/>
      <c r="C228" s="29"/>
      <c r="D228" s="29"/>
      <c r="E228" s="29"/>
      <c r="F228" s="29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29"/>
      <c r="AB228" s="29"/>
      <c r="AC228" s="29"/>
      <c r="AD228" s="29"/>
      <c r="AE228" s="29"/>
      <c r="AF228" s="29"/>
      <c r="AG228" s="29"/>
      <c r="AH228" s="29"/>
      <c r="AI228" s="29"/>
      <c r="AJ228" s="29"/>
    </row>
    <row r="229" spans="1:36" x14ac:dyDescent="0.2">
      <c r="A229" s="29"/>
      <c r="B229" s="29"/>
      <c r="C229" s="29"/>
      <c r="D229" s="29"/>
      <c r="E229" s="29"/>
      <c r="F229" s="29"/>
      <c r="G229" s="29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29"/>
      <c r="AB229" s="29"/>
      <c r="AC229" s="29"/>
      <c r="AD229" s="29"/>
      <c r="AE229" s="29"/>
      <c r="AF229" s="29"/>
      <c r="AG229" s="29"/>
      <c r="AH229" s="29"/>
      <c r="AI229" s="29"/>
      <c r="AJ229" s="29"/>
    </row>
    <row r="230" spans="1:36" x14ac:dyDescent="0.2">
      <c r="A230" s="29"/>
      <c r="B230" s="29"/>
      <c r="C230" s="29"/>
      <c r="D230" s="29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29"/>
      <c r="AB230" s="29"/>
      <c r="AC230" s="29"/>
      <c r="AD230" s="29"/>
      <c r="AE230" s="29"/>
      <c r="AF230" s="29"/>
      <c r="AG230" s="29"/>
      <c r="AH230" s="29"/>
      <c r="AI230" s="29"/>
      <c r="AJ230" s="29"/>
    </row>
    <row r="231" spans="1:36" x14ac:dyDescent="0.2">
      <c r="A231" s="29"/>
      <c r="B231" s="29"/>
      <c r="C231" s="29"/>
      <c r="D231" s="29"/>
      <c r="E231" s="29"/>
      <c r="F231" s="29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29"/>
      <c r="AB231" s="29"/>
      <c r="AC231" s="29"/>
      <c r="AD231" s="29"/>
      <c r="AE231" s="29"/>
      <c r="AF231" s="29"/>
      <c r="AG231" s="29"/>
      <c r="AH231" s="29"/>
      <c r="AI231" s="29"/>
      <c r="AJ231" s="29"/>
    </row>
    <row r="232" spans="1:36" x14ac:dyDescent="0.2">
      <c r="A232" s="29"/>
      <c r="B232" s="29"/>
      <c r="C232" s="29"/>
      <c r="D232" s="29"/>
      <c r="E232" s="29"/>
      <c r="F232" s="29"/>
      <c r="G232" s="29"/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29"/>
      <c r="AB232" s="29"/>
      <c r="AC232" s="29"/>
      <c r="AD232" s="29"/>
      <c r="AE232" s="29"/>
      <c r="AF232" s="29"/>
      <c r="AG232" s="29"/>
      <c r="AH232" s="29"/>
      <c r="AI232" s="29"/>
      <c r="AJ232" s="29"/>
    </row>
    <row r="233" spans="1:36" x14ac:dyDescent="0.2">
      <c r="A233" s="29"/>
      <c r="B233" s="29"/>
      <c r="C233" s="29"/>
      <c r="D233" s="29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29"/>
      <c r="AB233" s="29"/>
      <c r="AC233" s="29"/>
      <c r="AD233" s="29"/>
      <c r="AE233" s="29"/>
      <c r="AF233" s="29"/>
      <c r="AG233" s="29"/>
      <c r="AH233" s="29"/>
      <c r="AI233" s="29"/>
      <c r="AJ233" s="29"/>
    </row>
    <row r="234" spans="1:36" x14ac:dyDescent="0.2">
      <c r="A234" s="29"/>
      <c r="B234" s="29"/>
      <c r="C234" s="29"/>
      <c r="D234" s="29"/>
      <c r="E234" s="29"/>
      <c r="F234" s="29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29"/>
      <c r="AB234" s="29"/>
      <c r="AC234" s="29"/>
      <c r="AD234" s="29"/>
      <c r="AE234" s="29"/>
      <c r="AF234" s="29"/>
      <c r="AG234" s="29"/>
      <c r="AH234" s="29"/>
      <c r="AI234" s="29"/>
      <c r="AJ234" s="29"/>
    </row>
    <row r="235" spans="1:36" x14ac:dyDescent="0.2">
      <c r="A235" s="29"/>
      <c r="B235" s="29"/>
      <c r="C235" s="29"/>
      <c r="D235" s="29"/>
      <c r="E235" s="29"/>
      <c r="F235" s="29"/>
      <c r="G235" s="29"/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29"/>
      <c r="AB235" s="29"/>
      <c r="AC235" s="29"/>
      <c r="AD235" s="29"/>
      <c r="AE235" s="29"/>
      <c r="AF235" s="29"/>
      <c r="AG235" s="29"/>
      <c r="AH235" s="29"/>
      <c r="AI235" s="29"/>
      <c r="AJ235" s="29"/>
    </row>
    <row r="236" spans="1:36" x14ac:dyDescent="0.2">
      <c r="A236" s="29"/>
      <c r="B236" s="29"/>
      <c r="C236" s="29"/>
      <c r="D236" s="29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29"/>
      <c r="AB236" s="29"/>
      <c r="AC236" s="29"/>
      <c r="AD236" s="29"/>
      <c r="AE236" s="29"/>
      <c r="AF236" s="29"/>
      <c r="AG236" s="29"/>
      <c r="AH236" s="29"/>
      <c r="AI236" s="29"/>
      <c r="AJ236" s="29"/>
    </row>
    <row r="237" spans="1:36" x14ac:dyDescent="0.2">
      <c r="A237" s="29"/>
      <c r="B237" s="29"/>
      <c r="C237" s="29"/>
      <c r="D237" s="29"/>
      <c r="E237" s="29"/>
      <c r="F237" s="29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29"/>
      <c r="AB237" s="29"/>
      <c r="AC237" s="29"/>
      <c r="AD237" s="29"/>
      <c r="AE237" s="29"/>
      <c r="AF237" s="29"/>
      <c r="AG237" s="29"/>
      <c r="AH237" s="29"/>
      <c r="AI237" s="29"/>
      <c r="AJ237" s="29"/>
    </row>
    <row r="238" spans="1:36" x14ac:dyDescent="0.2">
      <c r="A238" s="29"/>
      <c r="B238" s="29"/>
      <c r="C238" s="29"/>
      <c r="D238" s="29"/>
      <c r="E238" s="29"/>
      <c r="F238" s="29"/>
      <c r="G238" s="29"/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29"/>
      <c r="AB238" s="29"/>
      <c r="AC238" s="29"/>
      <c r="AD238" s="29"/>
      <c r="AE238" s="29"/>
      <c r="AF238" s="29"/>
      <c r="AG238" s="29"/>
      <c r="AH238" s="29"/>
      <c r="AI238" s="29"/>
      <c r="AJ238" s="29"/>
    </row>
    <row r="239" spans="1:36" x14ac:dyDescent="0.2">
      <c r="A239" s="29"/>
      <c r="B239" s="29"/>
      <c r="C239" s="29"/>
      <c r="D239" s="29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29"/>
      <c r="AB239" s="29"/>
      <c r="AC239" s="29"/>
      <c r="AD239" s="29"/>
      <c r="AE239" s="29"/>
      <c r="AF239" s="29"/>
      <c r="AG239" s="29"/>
      <c r="AH239" s="29"/>
      <c r="AI239" s="29"/>
      <c r="AJ239" s="29"/>
    </row>
    <row r="240" spans="1:36" x14ac:dyDescent="0.2">
      <c r="A240" s="29"/>
      <c r="B240" s="29"/>
      <c r="C240" s="29"/>
      <c r="D240" s="29"/>
      <c r="E240" s="29"/>
      <c r="F240" s="29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29"/>
      <c r="AB240" s="29"/>
      <c r="AC240" s="29"/>
      <c r="AD240" s="29"/>
      <c r="AE240" s="29"/>
      <c r="AF240" s="29"/>
      <c r="AG240" s="29"/>
      <c r="AH240" s="29"/>
      <c r="AI240" s="29"/>
      <c r="AJ240" s="29"/>
    </row>
    <row r="241" spans="1:36" x14ac:dyDescent="0.2">
      <c r="A241" s="29"/>
      <c r="B241" s="29"/>
      <c r="C241" s="29"/>
      <c r="D241" s="29"/>
      <c r="E241" s="29"/>
      <c r="F241" s="29"/>
      <c r="G241" s="29"/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29"/>
      <c r="AB241" s="29"/>
      <c r="AC241" s="29"/>
      <c r="AD241" s="29"/>
      <c r="AE241" s="29"/>
      <c r="AF241" s="29"/>
      <c r="AG241" s="29"/>
      <c r="AH241" s="29"/>
      <c r="AI241" s="29"/>
      <c r="AJ241" s="29"/>
    </row>
    <row r="242" spans="1:36" x14ac:dyDescent="0.2">
      <c r="A242" s="29"/>
      <c r="B242" s="29"/>
      <c r="C242" s="29"/>
      <c r="D242" s="29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29"/>
      <c r="AB242" s="29"/>
      <c r="AC242" s="29"/>
      <c r="AD242" s="29"/>
      <c r="AE242" s="29"/>
      <c r="AF242" s="29"/>
      <c r="AG242" s="29"/>
      <c r="AH242" s="29"/>
      <c r="AI242" s="29"/>
      <c r="AJ242" s="29"/>
    </row>
    <row r="243" spans="1:36" x14ac:dyDescent="0.2">
      <c r="A243" s="29"/>
      <c r="B243" s="29"/>
      <c r="C243" s="29"/>
      <c r="D243" s="29"/>
      <c r="E243" s="29"/>
      <c r="F243" s="29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29"/>
      <c r="AB243" s="29"/>
      <c r="AC243" s="29"/>
      <c r="AD243" s="29"/>
      <c r="AE243" s="29"/>
      <c r="AF243" s="29"/>
      <c r="AG243" s="29"/>
      <c r="AH243" s="29"/>
      <c r="AI243" s="29"/>
      <c r="AJ243" s="29"/>
    </row>
    <row r="244" spans="1:36" x14ac:dyDescent="0.2">
      <c r="A244" s="29"/>
      <c r="B244" s="29"/>
      <c r="C244" s="29"/>
      <c r="D244" s="29"/>
      <c r="E244" s="29"/>
      <c r="F244" s="29"/>
      <c r="G244" s="29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  <c r="AG244" s="29"/>
      <c r="AH244" s="29"/>
      <c r="AI244" s="29"/>
      <c r="AJ244" s="29"/>
    </row>
    <row r="245" spans="1:36" x14ac:dyDescent="0.2">
      <c r="A245" s="29"/>
      <c r="B245" s="29"/>
      <c r="C245" s="29"/>
      <c r="D245" s="29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29"/>
      <c r="AB245" s="29"/>
      <c r="AC245" s="29"/>
      <c r="AD245" s="29"/>
      <c r="AE245" s="29"/>
      <c r="AF245" s="29"/>
      <c r="AG245" s="29"/>
      <c r="AH245" s="29"/>
      <c r="AI245" s="29"/>
      <c r="AJ245" s="29"/>
    </row>
    <row r="246" spans="1:36" x14ac:dyDescent="0.2">
      <c r="A246" s="29"/>
      <c r="B246" s="29"/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29"/>
      <c r="AB246" s="29"/>
      <c r="AC246" s="29"/>
      <c r="AD246" s="29"/>
      <c r="AE246" s="29"/>
      <c r="AF246" s="29"/>
      <c r="AG246" s="29"/>
      <c r="AH246" s="29"/>
      <c r="AI246" s="29"/>
      <c r="AJ246" s="29"/>
    </row>
    <row r="247" spans="1:36" x14ac:dyDescent="0.2">
      <c r="A247" s="29"/>
      <c r="B247" s="29"/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29"/>
      <c r="AB247" s="29"/>
      <c r="AC247" s="29"/>
      <c r="AD247" s="29"/>
      <c r="AE247" s="29"/>
      <c r="AF247" s="29"/>
      <c r="AG247" s="29"/>
      <c r="AH247" s="29"/>
      <c r="AI247" s="29"/>
      <c r="AJ247" s="29"/>
    </row>
    <row r="248" spans="1:36" x14ac:dyDescent="0.2">
      <c r="A248" s="29"/>
      <c r="B248" s="29"/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29"/>
      <c r="AB248" s="29"/>
      <c r="AC248" s="29"/>
      <c r="AD248" s="29"/>
      <c r="AE248" s="29"/>
      <c r="AF248" s="29"/>
      <c r="AG248" s="29"/>
      <c r="AH248" s="29"/>
      <c r="AI248" s="29"/>
      <c r="AJ248" s="29"/>
    </row>
    <row r="249" spans="1:36" x14ac:dyDescent="0.2">
      <c r="A249" s="29"/>
      <c r="B249" s="29"/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29"/>
      <c r="AB249" s="29"/>
      <c r="AC249" s="29"/>
      <c r="AD249" s="29"/>
      <c r="AE249" s="29"/>
      <c r="AF249" s="29"/>
      <c r="AG249" s="29"/>
      <c r="AH249" s="29"/>
      <c r="AI249" s="29"/>
      <c r="AJ249" s="29"/>
    </row>
    <row r="250" spans="1:36" x14ac:dyDescent="0.2">
      <c r="A250" s="29"/>
      <c r="B250" s="29"/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29"/>
      <c r="AB250" s="29"/>
      <c r="AC250" s="29"/>
      <c r="AD250" s="29"/>
      <c r="AE250" s="29"/>
      <c r="AF250" s="29"/>
      <c r="AG250" s="29"/>
      <c r="AH250" s="29"/>
      <c r="AI250" s="29"/>
      <c r="AJ250" s="29"/>
    </row>
    <row r="251" spans="1:36" x14ac:dyDescent="0.2">
      <c r="A251" s="29"/>
      <c r="B251" s="29"/>
      <c r="C251" s="29"/>
      <c r="D251" s="29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29"/>
      <c r="AB251" s="29"/>
      <c r="AC251" s="29"/>
      <c r="AD251" s="29"/>
      <c r="AE251" s="29"/>
      <c r="AF251" s="29"/>
      <c r="AG251" s="29"/>
      <c r="AH251" s="29"/>
      <c r="AI251" s="29"/>
      <c r="AJ251" s="29"/>
    </row>
    <row r="252" spans="1:36" x14ac:dyDescent="0.2">
      <c r="A252" s="29"/>
      <c r="B252" s="29"/>
      <c r="C252" s="29"/>
      <c r="D252" s="29"/>
      <c r="E252" s="29"/>
      <c r="F252" s="29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29"/>
      <c r="AB252" s="29"/>
      <c r="AC252" s="29"/>
      <c r="AD252" s="29"/>
      <c r="AE252" s="29"/>
      <c r="AF252" s="29"/>
      <c r="AG252" s="29"/>
      <c r="AH252" s="29"/>
      <c r="AI252" s="29"/>
      <c r="AJ252" s="29"/>
    </row>
    <row r="253" spans="1:36" x14ac:dyDescent="0.2">
      <c r="A253" s="29"/>
      <c r="B253" s="29"/>
      <c r="C253" s="29"/>
      <c r="D253" s="29"/>
      <c r="E253" s="29"/>
      <c r="F253" s="29"/>
      <c r="G253" s="29"/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29"/>
      <c r="AB253" s="29"/>
      <c r="AC253" s="29"/>
      <c r="AD253" s="29"/>
      <c r="AE253" s="29"/>
      <c r="AF253" s="29"/>
      <c r="AG253" s="29"/>
      <c r="AH253" s="29"/>
      <c r="AI253" s="29"/>
      <c r="AJ253" s="29"/>
    </row>
    <row r="254" spans="1:36" x14ac:dyDescent="0.2">
      <c r="A254" s="29"/>
      <c r="B254" s="29"/>
      <c r="C254" s="29"/>
      <c r="D254" s="29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29"/>
      <c r="AB254" s="29"/>
      <c r="AC254" s="29"/>
      <c r="AD254" s="29"/>
      <c r="AE254" s="29"/>
      <c r="AF254" s="29"/>
      <c r="AG254" s="29"/>
      <c r="AH254" s="29"/>
      <c r="AI254" s="29"/>
      <c r="AJ254" s="29"/>
    </row>
    <row r="255" spans="1:36" x14ac:dyDescent="0.2">
      <c r="A255" s="29"/>
      <c r="B255" s="29"/>
      <c r="C255" s="29"/>
      <c r="D255" s="29"/>
      <c r="E255" s="29"/>
      <c r="F255" s="29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29"/>
      <c r="AB255" s="29"/>
      <c r="AC255" s="29"/>
      <c r="AD255" s="29"/>
      <c r="AE255" s="29"/>
      <c r="AF255" s="29"/>
      <c r="AG255" s="29"/>
      <c r="AH255" s="29"/>
      <c r="AI255" s="29"/>
      <c r="AJ255" s="29"/>
    </row>
    <row r="256" spans="1:36" x14ac:dyDescent="0.2">
      <c r="A256" s="29"/>
      <c r="B256" s="29"/>
      <c r="C256" s="29"/>
      <c r="D256" s="29"/>
      <c r="E256" s="29"/>
      <c r="F256" s="29"/>
      <c r="G256" s="29"/>
      <c r="H256" s="29"/>
      <c r="I256" s="29"/>
      <c r="J256" s="29"/>
      <c r="K256" s="29"/>
      <c r="L256" s="29"/>
      <c r="M256" s="29"/>
      <c r="N256" s="29"/>
      <c r="O256" s="29"/>
      <c r="P256" s="29"/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29"/>
      <c r="AB256" s="29"/>
      <c r="AC256" s="29"/>
      <c r="AD256" s="29"/>
      <c r="AE256" s="29"/>
      <c r="AF256" s="29"/>
      <c r="AG256" s="29"/>
      <c r="AH256" s="29"/>
      <c r="AI256" s="29"/>
      <c r="AJ256" s="29"/>
    </row>
    <row r="257" spans="1:36" x14ac:dyDescent="0.2">
      <c r="A257" s="29"/>
      <c r="B257" s="29"/>
      <c r="C257" s="29"/>
      <c r="D257" s="29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29"/>
      <c r="AB257" s="29"/>
      <c r="AC257" s="29"/>
      <c r="AD257" s="29"/>
      <c r="AE257" s="29"/>
      <c r="AF257" s="29"/>
      <c r="AG257" s="29"/>
      <c r="AH257" s="29"/>
      <c r="AI257" s="29"/>
      <c r="AJ257" s="29"/>
    </row>
    <row r="258" spans="1:36" x14ac:dyDescent="0.2">
      <c r="A258" s="29"/>
      <c r="B258" s="29"/>
      <c r="C258" s="29"/>
      <c r="D258" s="29"/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29"/>
      <c r="AB258" s="29"/>
      <c r="AC258" s="29"/>
      <c r="AD258" s="29"/>
      <c r="AE258" s="29"/>
      <c r="AF258" s="29"/>
      <c r="AG258" s="29"/>
      <c r="AH258" s="29"/>
      <c r="AI258" s="29"/>
      <c r="AJ258" s="29"/>
    </row>
    <row r="259" spans="1:36" x14ac:dyDescent="0.2">
      <c r="A259" s="29"/>
      <c r="B259" s="29"/>
      <c r="C259" s="29"/>
      <c r="D259" s="29"/>
      <c r="E259" s="29"/>
      <c r="F259" s="29"/>
      <c r="G259" s="29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29"/>
      <c r="AB259" s="29"/>
      <c r="AC259" s="29"/>
      <c r="AD259" s="29"/>
      <c r="AE259" s="29"/>
      <c r="AF259" s="29"/>
      <c r="AG259" s="29"/>
      <c r="AH259" s="29"/>
      <c r="AI259" s="29"/>
      <c r="AJ259" s="29"/>
    </row>
    <row r="260" spans="1:36" x14ac:dyDescent="0.2">
      <c r="A260" s="29"/>
      <c r="B260" s="29"/>
      <c r="C260" s="29"/>
      <c r="D260" s="29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29"/>
      <c r="AB260" s="29"/>
      <c r="AC260" s="29"/>
      <c r="AD260" s="29"/>
      <c r="AE260" s="29"/>
      <c r="AF260" s="29"/>
      <c r="AG260" s="29"/>
      <c r="AH260" s="29"/>
      <c r="AI260" s="29"/>
      <c r="AJ260" s="29"/>
    </row>
    <row r="261" spans="1:36" x14ac:dyDescent="0.2">
      <c r="A261" s="29"/>
      <c r="B261" s="29"/>
      <c r="C261" s="29"/>
      <c r="D261" s="29"/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29"/>
      <c r="AH261" s="29"/>
      <c r="AI261" s="29"/>
      <c r="AJ261" s="29"/>
    </row>
    <row r="262" spans="1:36" x14ac:dyDescent="0.2">
      <c r="A262" s="29"/>
      <c r="B262" s="29"/>
      <c r="C262" s="29"/>
      <c r="D262" s="29"/>
      <c r="E262" s="29"/>
      <c r="F262" s="29"/>
      <c r="G262" s="29"/>
      <c r="H262" s="29"/>
      <c r="I262" s="29"/>
      <c r="J262" s="29"/>
      <c r="K262" s="29"/>
      <c r="L262" s="29"/>
      <c r="M262" s="29"/>
      <c r="N262" s="29"/>
      <c r="O262" s="29"/>
      <c r="P262" s="29"/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29"/>
      <c r="AB262" s="29"/>
      <c r="AC262" s="29"/>
      <c r="AD262" s="29"/>
      <c r="AE262" s="29"/>
      <c r="AF262" s="29"/>
      <c r="AG262" s="29"/>
      <c r="AH262" s="29"/>
      <c r="AI262" s="29"/>
      <c r="AJ262" s="29"/>
    </row>
    <row r="263" spans="1:36" x14ac:dyDescent="0.2">
      <c r="A263" s="29"/>
      <c r="B263" s="29"/>
      <c r="C263" s="29"/>
      <c r="D263" s="29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29"/>
      <c r="AB263" s="29"/>
      <c r="AC263" s="29"/>
      <c r="AD263" s="29"/>
      <c r="AE263" s="29"/>
      <c r="AF263" s="29"/>
      <c r="AG263" s="29"/>
      <c r="AH263" s="29"/>
      <c r="AI263" s="29"/>
      <c r="AJ263" s="29"/>
    </row>
    <row r="264" spans="1:36" x14ac:dyDescent="0.2">
      <c r="A264" s="29"/>
      <c r="B264" s="29"/>
      <c r="C264" s="29"/>
      <c r="D264" s="29"/>
      <c r="E264" s="29"/>
      <c r="F264" s="29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29"/>
      <c r="AB264" s="29"/>
      <c r="AC264" s="29"/>
      <c r="AD264" s="29"/>
      <c r="AE264" s="29"/>
      <c r="AF264" s="29"/>
      <c r="AG264" s="29"/>
      <c r="AH264" s="29"/>
      <c r="AI264" s="29"/>
      <c r="AJ264" s="29"/>
    </row>
    <row r="265" spans="1:36" x14ac:dyDescent="0.2">
      <c r="A265" s="29"/>
      <c r="B265" s="29"/>
      <c r="C265" s="29"/>
      <c r="D265" s="29"/>
      <c r="E265" s="29"/>
      <c r="F265" s="29"/>
      <c r="G265" s="29"/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29"/>
      <c r="AB265" s="29"/>
      <c r="AC265" s="29"/>
      <c r="AD265" s="29"/>
      <c r="AE265" s="29"/>
      <c r="AF265" s="29"/>
      <c r="AG265" s="29"/>
      <c r="AH265" s="29"/>
      <c r="AI265" s="29"/>
      <c r="AJ265" s="29"/>
    </row>
    <row r="266" spans="1:36" x14ac:dyDescent="0.2">
      <c r="A266" s="29"/>
      <c r="B266" s="29"/>
      <c r="C266" s="29"/>
      <c r="D266" s="29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29"/>
      <c r="AB266" s="29"/>
      <c r="AC266" s="29"/>
      <c r="AD266" s="29"/>
      <c r="AE266" s="29"/>
      <c r="AF266" s="29"/>
      <c r="AG266" s="29"/>
      <c r="AH266" s="29"/>
      <c r="AI266" s="29"/>
      <c r="AJ266" s="29"/>
    </row>
    <row r="267" spans="1:36" x14ac:dyDescent="0.2">
      <c r="A267" s="29"/>
      <c r="B267" s="29"/>
      <c r="C267" s="29"/>
      <c r="D267" s="29"/>
      <c r="E267" s="29"/>
      <c r="F267" s="29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29"/>
      <c r="AB267" s="29"/>
      <c r="AC267" s="29"/>
      <c r="AD267" s="29"/>
      <c r="AE267" s="29"/>
      <c r="AF267" s="29"/>
      <c r="AG267" s="29"/>
      <c r="AH267" s="29"/>
      <c r="AI267" s="29"/>
      <c r="AJ267" s="29"/>
    </row>
    <row r="268" spans="1:36" x14ac:dyDescent="0.2">
      <c r="A268" s="29"/>
      <c r="B268" s="29"/>
      <c r="C268" s="29"/>
      <c r="D268" s="29"/>
      <c r="E268" s="29"/>
      <c r="F268" s="29"/>
      <c r="G268" s="29"/>
      <c r="H268" s="29"/>
      <c r="I268" s="29"/>
      <c r="J268" s="29"/>
      <c r="K268" s="29"/>
      <c r="L268" s="29"/>
      <c r="M268" s="29"/>
      <c r="N268" s="29"/>
      <c r="O268" s="29"/>
      <c r="P268" s="29"/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29"/>
      <c r="AB268" s="29"/>
      <c r="AC268" s="29"/>
      <c r="AD268" s="29"/>
      <c r="AE268" s="29"/>
      <c r="AF268" s="29"/>
      <c r="AG268" s="29"/>
      <c r="AH268" s="29"/>
      <c r="AI268" s="29"/>
      <c r="AJ268" s="29"/>
    </row>
    <row r="269" spans="1:36" x14ac:dyDescent="0.2">
      <c r="A269" s="29"/>
      <c r="B269" s="29"/>
      <c r="C269" s="29"/>
      <c r="D269" s="29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29"/>
      <c r="AB269" s="29"/>
      <c r="AC269" s="29"/>
      <c r="AD269" s="29"/>
      <c r="AE269" s="29"/>
      <c r="AF269" s="29"/>
      <c r="AG269" s="29"/>
      <c r="AH269" s="29"/>
      <c r="AI269" s="29"/>
      <c r="AJ269" s="29"/>
    </row>
    <row r="270" spans="1:36" x14ac:dyDescent="0.2">
      <c r="A270" s="29"/>
      <c r="B270" s="29"/>
      <c r="C270" s="29"/>
      <c r="D270" s="29"/>
      <c r="E270" s="29"/>
      <c r="F270" s="29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29"/>
      <c r="AB270" s="29"/>
      <c r="AC270" s="29"/>
      <c r="AD270" s="29"/>
      <c r="AE270" s="29"/>
      <c r="AF270" s="29"/>
      <c r="AG270" s="29"/>
      <c r="AH270" s="29"/>
      <c r="AI270" s="29"/>
      <c r="AJ270" s="29"/>
    </row>
    <row r="271" spans="1:36" x14ac:dyDescent="0.2">
      <c r="A271" s="29"/>
      <c r="B271" s="29"/>
      <c r="C271" s="29"/>
      <c r="D271" s="29"/>
      <c r="E271" s="29"/>
      <c r="F271" s="29"/>
      <c r="G271" s="29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29"/>
      <c r="AB271" s="29"/>
      <c r="AC271" s="29"/>
      <c r="AD271" s="29"/>
      <c r="AE271" s="29"/>
      <c r="AF271" s="29"/>
      <c r="AG271" s="29"/>
      <c r="AH271" s="29"/>
      <c r="AI271" s="29"/>
      <c r="AJ271" s="29"/>
    </row>
    <row r="272" spans="1:36" x14ac:dyDescent="0.2">
      <c r="A272" s="29"/>
      <c r="B272" s="29"/>
      <c r="C272" s="29"/>
      <c r="D272" s="29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29"/>
      <c r="AB272" s="29"/>
      <c r="AC272" s="29"/>
      <c r="AD272" s="29"/>
      <c r="AE272" s="29"/>
      <c r="AF272" s="29"/>
      <c r="AG272" s="29"/>
      <c r="AH272" s="29"/>
      <c r="AI272" s="29"/>
      <c r="AJ272" s="29"/>
    </row>
    <row r="273" spans="1:36" x14ac:dyDescent="0.2">
      <c r="A273" s="29"/>
      <c r="B273" s="29"/>
      <c r="C273" s="29"/>
      <c r="D273" s="29"/>
      <c r="E273" s="29"/>
      <c r="F273" s="29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29"/>
      <c r="AB273" s="29"/>
      <c r="AC273" s="29"/>
      <c r="AD273" s="29"/>
      <c r="AE273" s="29"/>
      <c r="AF273" s="29"/>
      <c r="AG273" s="29"/>
      <c r="AH273" s="29"/>
      <c r="AI273" s="29"/>
      <c r="AJ273" s="29"/>
    </row>
    <row r="274" spans="1:36" x14ac:dyDescent="0.2">
      <c r="A274" s="29"/>
      <c r="B274" s="29"/>
      <c r="C274" s="29"/>
      <c r="D274" s="29"/>
      <c r="E274" s="29"/>
      <c r="F274" s="29"/>
      <c r="G274" s="29"/>
      <c r="H274" s="29"/>
      <c r="I274" s="29"/>
      <c r="J274" s="29"/>
      <c r="K274" s="29"/>
      <c r="L274" s="29"/>
      <c r="M274" s="29"/>
      <c r="N274" s="29"/>
      <c r="O274" s="29"/>
      <c r="P274" s="29"/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29"/>
      <c r="AB274" s="29"/>
      <c r="AC274" s="29"/>
      <c r="AD274" s="29"/>
      <c r="AE274" s="29"/>
      <c r="AF274" s="29"/>
      <c r="AG274" s="29"/>
      <c r="AH274" s="29"/>
      <c r="AI274" s="29"/>
      <c r="AJ274" s="29"/>
    </row>
    <row r="275" spans="1:36" x14ac:dyDescent="0.2">
      <c r="A275" s="29"/>
      <c r="B275" s="29"/>
      <c r="C275" s="29"/>
      <c r="D275" s="29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29"/>
      <c r="AB275" s="29"/>
      <c r="AC275" s="29"/>
      <c r="AD275" s="29"/>
      <c r="AE275" s="29"/>
      <c r="AF275" s="29"/>
      <c r="AG275" s="29"/>
      <c r="AH275" s="29"/>
      <c r="AI275" s="29"/>
      <c r="AJ275" s="29"/>
    </row>
    <row r="276" spans="1:36" x14ac:dyDescent="0.2">
      <c r="A276" s="29"/>
      <c r="B276" s="29"/>
      <c r="C276" s="29"/>
      <c r="D276" s="29"/>
      <c r="E276" s="29"/>
      <c r="F276" s="29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29"/>
      <c r="AB276" s="29"/>
      <c r="AC276" s="29"/>
      <c r="AD276" s="29"/>
      <c r="AE276" s="29"/>
      <c r="AF276" s="29"/>
      <c r="AG276" s="29"/>
      <c r="AH276" s="29"/>
      <c r="AI276" s="29"/>
      <c r="AJ276" s="29"/>
    </row>
    <row r="277" spans="1:36" x14ac:dyDescent="0.2">
      <c r="A277" s="29"/>
      <c r="B277" s="29"/>
      <c r="C277" s="29"/>
      <c r="D277" s="29"/>
      <c r="E277" s="29"/>
      <c r="F277" s="29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29"/>
      <c r="AB277" s="29"/>
      <c r="AC277" s="29"/>
      <c r="AD277" s="29"/>
      <c r="AE277" s="29"/>
      <c r="AF277" s="29"/>
      <c r="AG277" s="29"/>
      <c r="AH277" s="29"/>
      <c r="AI277" s="29"/>
      <c r="AJ277" s="29"/>
    </row>
    <row r="278" spans="1:36" x14ac:dyDescent="0.2">
      <c r="A278" s="29"/>
      <c r="B278" s="29"/>
      <c r="C278" s="29"/>
      <c r="D278" s="29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29"/>
      <c r="AB278" s="29"/>
      <c r="AC278" s="29"/>
      <c r="AD278" s="29"/>
      <c r="AE278" s="29"/>
      <c r="AF278" s="29"/>
      <c r="AG278" s="29"/>
      <c r="AH278" s="29"/>
      <c r="AI278" s="29"/>
      <c r="AJ278" s="29"/>
    </row>
    <row r="279" spans="1:36" x14ac:dyDescent="0.2">
      <c r="A279" s="29"/>
      <c r="B279" s="29"/>
      <c r="C279" s="29"/>
      <c r="D279" s="29"/>
      <c r="E279" s="29"/>
      <c r="F279" s="29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29"/>
      <c r="AB279" s="29"/>
      <c r="AC279" s="29"/>
      <c r="AD279" s="29"/>
      <c r="AE279" s="29"/>
      <c r="AF279" s="29"/>
      <c r="AG279" s="29"/>
      <c r="AH279" s="29"/>
      <c r="AI279" s="29"/>
      <c r="AJ279" s="29"/>
    </row>
    <row r="280" spans="1:36" x14ac:dyDescent="0.2">
      <c r="A280" s="29"/>
      <c r="B280" s="29"/>
      <c r="C280" s="29"/>
      <c r="D280" s="29"/>
      <c r="E280" s="29"/>
      <c r="F280" s="29"/>
      <c r="G280" s="29"/>
      <c r="H280" s="29"/>
      <c r="I280" s="29"/>
      <c r="J280" s="29"/>
      <c r="K280" s="29"/>
      <c r="L280" s="29"/>
      <c r="M280" s="29"/>
      <c r="N280" s="29"/>
      <c r="O280" s="29"/>
      <c r="P280" s="29"/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29"/>
      <c r="AB280" s="29"/>
      <c r="AC280" s="29"/>
      <c r="AD280" s="29"/>
      <c r="AE280" s="29"/>
      <c r="AF280" s="29"/>
      <c r="AG280" s="29"/>
      <c r="AH280" s="29"/>
      <c r="AI280" s="29"/>
      <c r="AJ280" s="29"/>
    </row>
    <row r="281" spans="1:36" x14ac:dyDescent="0.2">
      <c r="A281" s="29"/>
      <c r="B281" s="29"/>
      <c r="C281" s="29"/>
      <c r="D281" s="29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29"/>
      <c r="AB281" s="29"/>
      <c r="AC281" s="29"/>
      <c r="AD281" s="29"/>
      <c r="AE281" s="29"/>
      <c r="AF281" s="29"/>
      <c r="AG281" s="29"/>
      <c r="AH281" s="29"/>
      <c r="AI281" s="29"/>
      <c r="AJ281" s="29"/>
    </row>
    <row r="282" spans="1:36" x14ac:dyDescent="0.2">
      <c r="A282" s="29"/>
      <c r="B282" s="29"/>
      <c r="C282" s="29"/>
      <c r="D282" s="29"/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29"/>
      <c r="AB282" s="29"/>
      <c r="AC282" s="29"/>
      <c r="AD282" s="29"/>
      <c r="AE282" s="29"/>
      <c r="AF282" s="29"/>
      <c r="AG282" s="29"/>
      <c r="AH282" s="29"/>
      <c r="AI282" s="29"/>
      <c r="AJ282" s="29"/>
    </row>
    <row r="283" spans="1:36" x14ac:dyDescent="0.2">
      <c r="A283" s="29"/>
      <c r="B283" s="29"/>
      <c r="C283" s="29"/>
      <c r="D283" s="29"/>
      <c r="E283" s="29"/>
      <c r="F283" s="29"/>
      <c r="G283" s="29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29"/>
      <c r="AB283" s="29"/>
      <c r="AC283" s="29"/>
      <c r="AD283" s="29"/>
      <c r="AE283" s="29"/>
      <c r="AF283" s="29"/>
      <c r="AG283" s="29"/>
      <c r="AH283" s="29"/>
      <c r="AI283" s="29"/>
      <c r="AJ283" s="29"/>
    </row>
    <row r="284" spans="1:36" x14ac:dyDescent="0.2">
      <c r="A284" s="29"/>
      <c r="B284" s="29"/>
      <c r="C284" s="29"/>
      <c r="D284" s="29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29"/>
      <c r="AB284" s="29"/>
      <c r="AC284" s="29"/>
      <c r="AD284" s="29"/>
      <c r="AE284" s="29"/>
      <c r="AF284" s="29"/>
      <c r="AG284" s="29"/>
      <c r="AH284" s="29"/>
      <c r="AI284" s="29"/>
      <c r="AJ284" s="29"/>
    </row>
    <row r="285" spans="1:36" x14ac:dyDescent="0.2">
      <c r="A285" s="29"/>
      <c r="B285" s="29"/>
      <c r="C285" s="29"/>
      <c r="D285" s="29"/>
      <c r="E285" s="29"/>
      <c r="F285" s="29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29"/>
      <c r="AB285" s="29"/>
      <c r="AC285" s="29"/>
      <c r="AD285" s="29"/>
      <c r="AE285" s="29"/>
      <c r="AF285" s="29"/>
      <c r="AG285" s="29"/>
      <c r="AH285" s="29"/>
      <c r="AI285" s="29"/>
      <c r="AJ285" s="29"/>
    </row>
    <row r="286" spans="1:36" x14ac:dyDescent="0.2">
      <c r="A286" s="29"/>
      <c r="B286" s="29"/>
      <c r="C286" s="29"/>
      <c r="D286" s="29"/>
      <c r="E286" s="29"/>
      <c r="F286" s="29"/>
      <c r="G286" s="29"/>
      <c r="H286" s="29"/>
      <c r="I286" s="29"/>
      <c r="J286" s="29"/>
      <c r="K286" s="29"/>
      <c r="L286" s="29"/>
      <c r="M286" s="29"/>
      <c r="N286" s="29"/>
      <c r="O286" s="29"/>
      <c r="P286" s="29"/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29"/>
      <c r="AB286" s="29"/>
      <c r="AC286" s="29"/>
      <c r="AD286" s="29"/>
      <c r="AE286" s="29"/>
      <c r="AF286" s="29"/>
      <c r="AG286" s="29"/>
      <c r="AH286" s="29"/>
      <c r="AI286" s="29"/>
      <c r="AJ286" s="29"/>
    </row>
    <row r="287" spans="1:36" x14ac:dyDescent="0.2">
      <c r="A287" s="29"/>
      <c r="B287" s="29"/>
      <c r="C287" s="29"/>
      <c r="D287" s="29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29"/>
      <c r="AB287" s="29"/>
      <c r="AC287" s="29"/>
      <c r="AD287" s="29"/>
      <c r="AE287" s="29"/>
      <c r="AF287" s="29"/>
      <c r="AG287" s="29"/>
      <c r="AH287" s="29"/>
      <c r="AI287" s="29"/>
      <c r="AJ287" s="29"/>
    </row>
    <row r="288" spans="1:36" x14ac:dyDescent="0.2">
      <c r="A288" s="29"/>
      <c r="B288" s="29"/>
      <c r="C288" s="29"/>
      <c r="D288" s="29"/>
      <c r="E288" s="29"/>
      <c r="F288" s="29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29"/>
      <c r="AB288" s="29"/>
      <c r="AC288" s="29"/>
      <c r="AD288" s="29"/>
      <c r="AE288" s="29"/>
      <c r="AF288" s="29"/>
      <c r="AG288" s="29"/>
      <c r="AH288" s="29"/>
      <c r="AI288" s="29"/>
      <c r="AJ288" s="29"/>
    </row>
    <row r="289" spans="1:36" x14ac:dyDescent="0.2">
      <c r="A289" s="29"/>
      <c r="B289" s="29"/>
      <c r="C289" s="29"/>
      <c r="D289" s="29"/>
      <c r="E289" s="29"/>
      <c r="F289" s="29"/>
      <c r="G289" s="29"/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29"/>
      <c r="AB289" s="29"/>
      <c r="AC289" s="29"/>
      <c r="AD289" s="29"/>
      <c r="AE289" s="29"/>
      <c r="AF289" s="29"/>
      <c r="AG289" s="29"/>
      <c r="AH289" s="29"/>
      <c r="AI289" s="29"/>
      <c r="AJ289" s="29"/>
    </row>
    <row r="290" spans="1:36" x14ac:dyDescent="0.2">
      <c r="A290" s="29"/>
      <c r="B290" s="29"/>
      <c r="C290" s="29"/>
      <c r="D290" s="29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29"/>
      <c r="AB290" s="29"/>
      <c r="AC290" s="29"/>
      <c r="AD290" s="29"/>
      <c r="AE290" s="29"/>
      <c r="AF290" s="29"/>
      <c r="AG290" s="29"/>
      <c r="AH290" s="29"/>
      <c r="AI290" s="29"/>
      <c r="AJ290" s="29"/>
    </row>
    <row r="291" spans="1:36" x14ac:dyDescent="0.2">
      <c r="A291" s="29"/>
      <c r="B291" s="29"/>
      <c r="C291" s="29"/>
      <c r="D291" s="29"/>
      <c r="E291" s="29"/>
      <c r="F291" s="29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29"/>
      <c r="AB291" s="29"/>
      <c r="AC291" s="29"/>
      <c r="AD291" s="29"/>
      <c r="AE291" s="29"/>
      <c r="AF291" s="29"/>
      <c r="AG291" s="29"/>
      <c r="AH291" s="29"/>
      <c r="AI291" s="29"/>
      <c r="AJ291" s="29"/>
    </row>
    <row r="292" spans="1:36" x14ac:dyDescent="0.2">
      <c r="A292" s="29"/>
      <c r="B292" s="29"/>
      <c r="C292" s="29"/>
      <c r="D292" s="29"/>
      <c r="E292" s="29"/>
      <c r="F292" s="29"/>
      <c r="G292" s="29"/>
      <c r="H292" s="29"/>
      <c r="I292" s="29"/>
      <c r="J292" s="29"/>
      <c r="K292" s="29"/>
      <c r="L292" s="29"/>
      <c r="M292" s="29"/>
      <c r="N292" s="29"/>
      <c r="O292" s="29"/>
      <c r="P292" s="29"/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29"/>
      <c r="AB292" s="29"/>
      <c r="AC292" s="29"/>
      <c r="AD292" s="29"/>
      <c r="AE292" s="29"/>
      <c r="AF292" s="29"/>
      <c r="AG292" s="29"/>
      <c r="AH292" s="29"/>
      <c r="AI292" s="29"/>
      <c r="AJ292" s="29"/>
    </row>
    <row r="293" spans="1:36" x14ac:dyDescent="0.2">
      <c r="A293" s="29"/>
      <c r="B293" s="29"/>
      <c r="C293" s="29"/>
      <c r="D293" s="29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29"/>
      <c r="AB293" s="29"/>
      <c r="AC293" s="29"/>
      <c r="AD293" s="29"/>
      <c r="AE293" s="29"/>
      <c r="AF293" s="29"/>
      <c r="AG293" s="29"/>
      <c r="AH293" s="29"/>
      <c r="AI293" s="29"/>
      <c r="AJ293" s="29"/>
    </row>
    <row r="294" spans="1:36" x14ac:dyDescent="0.2">
      <c r="A294" s="29"/>
      <c r="B294" s="29"/>
      <c r="C294" s="29"/>
      <c r="D294" s="29"/>
      <c r="E294" s="29"/>
      <c r="F294" s="29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29"/>
      <c r="AB294" s="29"/>
      <c r="AC294" s="29"/>
      <c r="AD294" s="29"/>
      <c r="AE294" s="29"/>
      <c r="AF294" s="29"/>
      <c r="AG294" s="29"/>
      <c r="AH294" s="29"/>
      <c r="AI294" s="29"/>
      <c r="AJ294" s="29"/>
    </row>
    <row r="295" spans="1:36" x14ac:dyDescent="0.2">
      <c r="A295" s="29"/>
      <c r="B295" s="29"/>
      <c r="C295" s="29"/>
      <c r="D295" s="29"/>
      <c r="E295" s="29"/>
      <c r="F295" s="29"/>
      <c r="G295" s="29"/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29"/>
      <c r="AB295" s="29"/>
      <c r="AC295" s="29"/>
      <c r="AD295" s="29"/>
      <c r="AE295" s="29"/>
      <c r="AF295" s="29"/>
      <c r="AG295" s="29"/>
      <c r="AH295" s="29"/>
      <c r="AI295" s="29"/>
      <c r="AJ295" s="29"/>
    </row>
    <row r="296" spans="1:36" x14ac:dyDescent="0.2">
      <c r="A296" s="29"/>
      <c r="B296" s="29"/>
      <c r="C296" s="29"/>
      <c r="D296" s="29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29"/>
      <c r="AB296" s="29"/>
      <c r="AC296" s="29"/>
      <c r="AD296" s="29"/>
      <c r="AE296" s="29"/>
      <c r="AF296" s="29"/>
      <c r="AG296" s="29"/>
      <c r="AH296" s="29"/>
      <c r="AI296" s="29"/>
      <c r="AJ296" s="29"/>
    </row>
    <row r="297" spans="1:36" x14ac:dyDescent="0.2">
      <c r="A297" s="29"/>
      <c r="B297" s="29"/>
      <c r="C297" s="29"/>
      <c r="D297" s="29"/>
      <c r="E297" s="29"/>
      <c r="F297" s="29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29"/>
      <c r="AB297" s="29"/>
      <c r="AC297" s="29"/>
      <c r="AD297" s="29"/>
      <c r="AE297" s="29"/>
      <c r="AF297" s="29"/>
      <c r="AG297" s="29"/>
      <c r="AH297" s="29"/>
      <c r="AI297" s="29"/>
      <c r="AJ297" s="29"/>
    </row>
    <row r="298" spans="1:36" x14ac:dyDescent="0.2">
      <c r="A298" s="29"/>
      <c r="B298" s="29"/>
      <c r="C298" s="29"/>
      <c r="D298" s="29"/>
      <c r="E298" s="29"/>
      <c r="F298" s="29"/>
      <c r="G298" s="29"/>
      <c r="H298" s="29"/>
      <c r="I298" s="29"/>
      <c r="J298" s="29"/>
      <c r="K298" s="29"/>
      <c r="L298" s="29"/>
      <c r="M298" s="29"/>
      <c r="N298" s="29"/>
      <c r="O298" s="29"/>
      <c r="P298" s="29"/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29"/>
      <c r="AB298" s="29"/>
      <c r="AC298" s="29"/>
      <c r="AD298" s="29"/>
      <c r="AE298" s="29"/>
      <c r="AF298" s="29"/>
      <c r="AG298" s="29"/>
      <c r="AH298" s="29"/>
      <c r="AI298" s="29"/>
      <c r="AJ298" s="29"/>
    </row>
    <row r="299" spans="1:36" x14ac:dyDescent="0.2">
      <c r="A299" s="29"/>
      <c r="B299" s="29"/>
      <c r="C299" s="29"/>
      <c r="D299" s="29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29"/>
      <c r="AB299" s="29"/>
      <c r="AC299" s="29"/>
      <c r="AD299" s="29"/>
      <c r="AE299" s="29"/>
      <c r="AF299" s="29"/>
      <c r="AG299" s="29"/>
      <c r="AH299" s="29"/>
      <c r="AI299" s="29"/>
      <c r="AJ299" s="29"/>
    </row>
    <row r="300" spans="1:36" x14ac:dyDescent="0.2">
      <c r="A300" s="29"/>
      <c r="B300" s="29"/>
      <c r="C300" s="29"/>
      <c r="D300" s="29"/>
      <c r="E300" s="29"/>
      <c r="F300" s="29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29"/>
      <c r="AB300" s="29"/>
      <c r="AC300" s="29"/>
      <c r="AD300" s="29"/>
      <c r="AE300" s="29"/>
      <c r="AF300" s="29"/>
      <c r="AG300" s="29"/>
      <c r="AH300" s="29"/>
      <c r="AI300" s="29"/>
      <c r="AJ300" s="29"/>
    </row>
    <row r="301" spans="1:36" x14ac:dyDescent="0.2">
      <c r="A301" s="29"/>
      <c r="B301" s="29"/>
      <c r="C301" s="29"/>
      <c r="D301" s="29"/>
      <c r="E301" s="29"/>
      <c r="F301" s="29"/>
      <c r="G301" s="29"/>
      <c r="H301" s="29"/>
      <c r="I301" s="29"/>
      <c r="J301" s="29"/>
      <c r="K301" s="29"/>
      <c r="L301" s="29"/>
      <c r="M301" s="29"/>
      <c r="N301" s="29"/>
      <c r="O301" s="29"/>
      <c r="P301" s="29"/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29"/>
      <c r="AB301" s="29"/>
      <c r="AC301" s="29"/>
      <c r="AD301" s="29"/>
      <c r="AE301" s="29"/>
      <c r="AF301" s="29"/>
      <c r="AG301" s="29"/>
      <c r="AH301" s="29"/>
      <c r="AI301" s="29"/>
      <c r="AJ301" s="29"/>
    </row>
    <row r="302" spans="1:36" x14ac:dyDescent="0.2">
      <c r="A302" s="29"/>
      <c r="B302" s="29"/>
      <c r="C302" s="29"/>
      <c r="D302" s="29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29"/>
      <c r="AB302" s="29"/>
      <c r="AC302" s="29"/>
      <c r="AD302" s="29"/>
      <c r="AE302" s="29"/>
      <c r="AF302" s="29"/>
      <c r="AG302" s="29"/>
      <c r="AH302" s="29"/>
      <c r="AI302" s="29"/>
      <c r="AJ302" s="29"/>
    </row>
    <row r="303" spans="1:36" x14ac:dyDescent="0.2">
      <c r="A303" s="29"/>
      <c r="B303" s="29"/>
      <c r="C303" s="29"/>
      <c r="D303" s="29"/>
      <c r="E303" s="29"/>
      <c r="F303" s="29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29"/>
      <c r="AB303" s="29"/>
      <c r="AC303" s="29"/>
      <c r="AD303" s="29"/>
      <c r="AE303" s="29"/>
      <c r="AF303" s="29"/>
      <c r="AG303" s="29"/>
      <c r="AH303" s="29"/>
      <c r="AI303" s="29"/>
      <c r="AJ303" s="29"/>
    </row>
    <row r="304" spans="1:36" x14ac:dyDescent="0.2">
      <c r="A304" s="29"/>
      <c r="B304" s="29"/>
      <c r="C304" s="29"/>
      <c r="D304" s="29"/>
      <c r="E304" s="29"/>
      <c r="F304" s="29"/>
      <c r="G304" s="29"/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29"/>
      <c r="AB304" s="29"/>
      <c r="AC304" s="29"/>
      <c r="AD304" s="29"/>
      <c r="AE304" s="29"/>
      <c r="AF304" s="29"/>
      <c r="AG304" s="29"/>
      <c r="AH304" s="29"/>
      <c r="AI304" s="29"/>
      <c r="AJ304" s="29"/>
    </row>
    <row r="305" spans="1:36" x14ac:dyDescent="0.2">
      <c r="A305" s="29"/>
      <c r="B305" s="29"/>
      <c r="C305" s="29"/>
      <c r="D305" s="29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29"/>
      <c r="AB305" s="29"/>
      <c r="AC305" s="29"/>
      <c r="AD305" s="29"/>
      <c r="AE305" s="29"/>
      <c r="AF305" s="29"/>
      <c r="AG305" s="29"/>
      <c r="AH305" s="29"/>
      <c r="AI305" s="29"/>
      <c r="AJ305" s="29"/>
    </row>
    <row r="306" spans="1:36" x14ac:dyDescent="0.2">
      <c r="A306" s="29"/>
      <c r="B306" s="29"/>
      <c r="C306" s="29"/>
      <c r="D306" s="29"/>
      <c r="E306" s="29"/>
      <c r="F306" s="29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29"/>
      <c r="AB306" s="29"/>
      <c r="AC306" s="29"/>
      <c r="AD306" s="29"/>
      <c r="AE306" s="29"/>
      <c r="AF306" s="29"/>
      <c r="AG306" s="29"/>
      <c r="AH306" s="29"/>
      <c r="AI306" s="29"/>
      <c r="AJ306" s="29"/>
    </row>
    <row r="307" spans="1:36" x14ac:dyDescent="0.2">
      <c r="A307" s="29"/>
      <c r="B307" s="29"/>
      <c r="C307" s="29"/>
      <c r="D307" s="29"/>
      <c r="E307" s="29"/>
      <c r="F307" s="29"/>
      <c r="G307" s="29"/>
      <c r="H307" s="29"/>
      <c r="I307" s="29"/>
      <c r="J307" s="29"/>
      <c r="K307" s="29"/>
      <c r="L307" s="29"/>
      <c r="M307" s="29"/>
      <c r="N307" s="29"/>
      <c r="O307" s="29"/>
      <c r="P307" s="29"/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29"/>
      <c r="AB307" s="29"/>
      <c r="AC307" s="29"/>
      <c r="AD307" s="29"/>
      <c r="AE307" s="29"/>
      <c r="AF307" s="29"/>
      <c r="AG307" s="29"/>
      <c r="AH307" s="29"/>
      <c r="AI307" s="29"/>
      <c r="AJ307" s="29"/>
    </row>
    <row r="308" spans="1:36" x14ac:dyDescent="0.2">
      <c r="A308" s="29"/>
      <c r="B308" s="29"/>
      <c r="C308" s="29"/>
      <c r="D308" s="29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29"/>
      <c r="AB308" s="29"/>
      <c r="AC308" s="29"/>
      <c r="AD308" s="29"/>
      <c r="AE308" s="29"/>
      <c r="AF308" s="29"/>
      <c r="AG308" s="29"/>
      <c r="AH308" s="29"/>
      <c r="AI308" s="29"/>
      <c r="AJ308" s="29"/>
    </row>
    <row r="309" spans="1:36" x14ac:dyDescent="0.2">
      <c r="A309" s="29"/>
      <c r="B309" s="29"/>
      <c r="C309" s="29"/>
      <c r="D309" s="29"/>
      <c r="E309" s="29"/>
      <c r="F309" s="29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29"/>
      <c r="AB309" s="29"/>
      <c r="AC309" s="29"/>
      <c r="AD309" s="29"/>
      <c r="AE309" s="29"/>
      <c r="AF309" s="29"/>
      <c r="AG309" s="29"/>
      <c r="AH309" s="29"/>
      <c r="AI309" s="29"/>
      <c r="AJ309" s="29"/>
    </row>
    <row r="310" spans="1:36" x14ac:dyDescent="0.2">
      <c r="A310" s="29"/>
      <c r="B310" s="29"/>
      <c r="C310" s="29"/>
      <c r="D310" s="29"/>
      <c r="E310" s="29"/>
      <c r="F310" s="29"/>
      <c r="G310" s="29"/>
      <c r="H310" s="29"/>
      <c r="I310" s="29"/>
      <c r="J310" s="29"/>
      <c r="K310" s="29"/>
      <c r="L310" s="29"/>
      <c r="M310" s="29"/>
      <c r="N310" s="29"/>
      <c r="O310" s="29"/>
      <c r="P310" s="29"/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29"/>
      <c r="AB310" s="29"/>
      <c r="AC310" s="29"/>
      <c r="AD310" s="29"/>
      <c r="AE310" s="29"/>
      <c r="AF310" s="29"/>
      <c r="AG310" s="29"/>
      <c r="AH310" s="29"/>
      <c r="AI310" s="29"/>
      <c r="AJ310" s="29"/>
    </row>
    <row r="311" spans="1:36" x14ac:dyDescent="0.2">
      <c r="A311" s="29"/>
      <c r="B311" s="29"/>
      <c r="C311" s="29"/>
      <c r="D311" s="29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29"/>
      <c r="AB311" s="29"/>
      <c r="AC311" s="29"/>
      <c r="AD311" s="29"/>
      <c r="AE311" s="29"/>
      <c r="AF311" s="29"/>
      <c r="AG311" s="29"/>
      <c r="AH311" s="29"/>
      <c r="AI311" s="29"/>
      <c r="AJ311" s="29"/>
    </row>
    <row r="312" spans="1:36" x14ac:dyDescent="0.2">
      <c r="A312" s="29"/>
      <c r="B312" s="29"/>
      <c r="C312" s="29"/>
      <c r="D312" s="29"/>
      <c r="E312" s="29"/>
      <c r="F312" s="29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29"/>
      <c r="AB312" s="29"/>
      <c r="AC312" s="29"/>
      <c r="AD312" s="29"/>
      <c r="AE312" s="29"/>
      <c r="AF312" s="29"/>
      <c r="AG312" s="29"/>
      <c r="AH312" s="29"/>
      <c r="AI312" s="29"/>
      <c r="AJ312" s="29"/>
    </row>
    <row r="313" spans="1:36" x14ac:dyDescent="0.2">
      <c r="A313" s="29"/>
      <c r="B313" s="29"/>
      <c r="C313" s="29"/>
      <c r="D313" s="29"/>
      <c r="E313" s="29"/>
      <c r="F313" s="29"/>
      <c r="G313" s="29"/>
      <c r="H313" s="29"/>
      <c r="I313" s="29"/>
      <c r="J313" s="29"/>
      <c r="K313" s="29"/>
      <c r="L313" s="29"/>
      <c r="M313" s="29"/>
      <c r="N313" s="29"/>
      <c r="O313" s="29"/>
      <c r="P313" s="29"/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29"/>
      <c r="AB313" s="29"/>
      <c r="AC313" s="29"/>
      <c r="AD313" s="29"/>
      <c r="AE313" s="29"/>
      <c r="AF313" s="29"/>
      <c r="AG313" s="29"/>
      <c r="AH313" s="29"/>
      <c r="AI313" s="29"/>
      <c r="AJ313" s="29"/>
    </row>
    <row r="314" spans="1:36" x14ac:dyDescent="0.2">
      <c r="A314" s="29"/>
      <c r="B314" s="29"/>
      <c r="C314" s="29"/>
      <c r="D314" s="29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29"/>
      <c r="AB314" s="29"/>
      <c r="AC314" s="29"/>
      <c r="AD314" s="29"/>
      <c r="AE314" s="29"/>
      <c r="AF314" s="29"/>
      <c r="AG314" s="29"/>
      <c r="AH314" s="29"/>
      <c r="AI314" s="29"/>
      <c r="AJ314" s="29"/>
    </row>
    <row r="315" spans="1:36" x14ac:dyDescent="0.2">
      <c r="A315" s="29"/>
      <c r="B315" s="29"/>
      <c r="C315" s="29"/>
      <c r="D315" s="29"/>
      <c r="E315" s="29"/>
      <c r="F315" s="29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29"/>
      <c r="AB315" s="29"/>
      <c r="AC315" s="29"/>
      <c r="AD315" s="29"/>
      <c r="AE315" s="29"/>
      <c r="AF315" s="29"/>
      <c r="AG315" s="29"/>
      <c r="AH315" s="29"/>
      <c r="AI315" s="29"/>
      <c r="AJ315" s="29"/>
    </row>
    <row r="316" spans="1:36" x14ac:dyDescent="0.2">
      <c r="A316" s="29"/>
      <c r="B316" s="29"/>
      <c r="C316" s="29"/>
      <c r="D316" s="29"/>
      <c r="E316" s="29"/>
      <c r="F316" s="29"/>
      <c r="G316" s="29"/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29"/>
      <c r="AB316" s="29"/>
      <c r="AC316" s="29"/>
      <c r="AD316" s="29"/>
      <c r="AE316" s="29"/>
      <c r="AF316" s="29"/>
      <c r="AG316" s="29"/>
      <c r="AH316" s="29"/>
      <c r="AI316" s="29"/>
      <c r="AJ316" s="29"/>
    </row>
    <row r="317" spans="1:36" x14ac:dyDescent="0.2">
      <c r="A317" s="29"/>
      <c r="B317" s="29"/>
      <c r="C317" s="29"/>
      <c r="D317" s="29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29"/>
      <c r="AB317" s="29"/>
      <c r="AC317" s="29"/>
      <c r="AD317" s="29"/>
      <c r="AE317" s="29"/>
      <c r="AF317" s="29"/>
      <c r="AG317" s="29"/>
      <c r="AH317" s="29"/>
      <c r="AI317" s="29"/>
      <c r="AJ317" s="29"/>
    </row>
    <row r="318" spans="1:36" x14ac:dyDescent="0.2">
      <c r="A318" s="29"/>
      <c r="B318" s="29"/>
      <c r="C318" s="29"/>
      <c r="D318" s="29"/>
      <c r="E318" s="29"/>
      <c r="F318" s="29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29"/>
      <c r="AB318" s="29"/>
      <c r="AC318" s="29"/>
      <c r="AD318" s="29"/>
      <c r="AE318" s="29"/>
      <c r="AF318" s="29"/>
      <c r="AG318" s="29"/>
      <c r="AH318" s="29"/>
      <c r="AI318" s="29"/>
      <c r="AJ318" s="29"/>
    </row>
    <row r="319" spans="1:36" x14ac:dyDescent="0.2">
      <c r="A319" s="29"/>
      <c r="B319" s="29"/>
      <c r="C319" s="29"/>
      <c r="D319" s="29"/>
      <c r="E319" s="29"/>
      <c r="F319" s="29"/>
      <c r="G319" s="29"/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29"/>
      <c r="AB319" s="29"/>
      <c r="AC319" s="29"/>
      <c r="AD319" s="29"/>
      <c r="AE319" s="29"/>
      <c r="AF319" s="29"/>
      <c r="AG319" s="29"/>
      <c r="AH319" s="29"/>
      <c r="AI319" s="29"/>
      <c r="AJ319" s="29"/>
    </row>
    <row r="320" spans="1:36" x14ac:dyDescent="0.2">
      <c r="A320" s="29"/>
      <c r="B320" s="29"/>
      <c r="C320" s="29"/>
      <c r="D320" s="29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29"/>
      <c r="AB320" s="29"/>
      <c r="AC320" s="29"/>
      <c r="AD320" s="29"/>
      <c r="AE320" s="29"/>
      <c r="AF320" s="29"/>
      <c r="AG320" s="29"/>
      <c r="AH320" s="29"/>
      <c r="AI320" s="29"/>
      <c r="AJ320" s="29"/>
    </row>
    <row r="321" spans="1:36" x14ac:dyDescent="0.2">
      <c r="A321" s="29"/>
      <c r="B321" s="29"/>
      <c r="C321" s="29"/>
      <c r="D321" s="29"/>
      <c r="E321" s="29"/>
      <c r="F321" s="29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29"/>
      <c r="AB321" s="29"/>
      <c r="AC321" s="29"/>
      <c r="AD321" s="29"/>
      <c r="AE321" s="29"/>
      <c r="AF321" s="29"/>
      <c r="AG321" s="29"/>
      <c r="AH321" s="29"/>
      <c r="AI321" s="29"/>
      <c r="AJ321" s="29"/>
    </row>
    <row r="322" spans="1:36" x14ac:dyDescent="0.2">
      <c r="A322" s="29"/>
      <c r="B322" s="29"/>
      <c r="C322" s="29"/>
      <c r="D322" s="29"/>
      <c r="E322" s="29"/>
      <c r="F322" s="29"/>
      <c r="G322" s="29"/>
      <c r="H322" s="29"/>
      <c r="I322" s="29"/>
      <c r="J322" s="29"/>
      <c r="K322" s="29"/>
      <c r="L322" s="29"/>
      <c r="M322" s="29"/>
      <c r="N322" s="29"/>
      <c r="O322" s="29"/>
      <c r="P322" s="29"/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29"/>
      <c r="AB322" s="29"/>
      <c r="AC322" s="29"/>
      <c r="AD322" s="29"/>
      <c r="AE322" s="29"/>
      <c r="AF322" s="29"/>
      <c r="AG322" s="29"/>
      <c r="AH322" s="29"/>
      <c r="AI322" s="29"/>
      <c r="AJ322" s="29"/>
    </row>
    <row r="323" spans="1:36" x14ac:dyDescent="0.2">
      <c r="A323" s="29"/>
      <c r="B323" s="29"/>
      <c r="C323" s="29"/>
      <c r="D323" s="29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29"/>
      <c r="AB323" s="29"/>
      <c r="AC323" s="29"/>
      <c r="AD323" s="29"/>
      <c r="AE323" s="29"/>
      <c r="AF323" s="29"/>
      <c r="AG323" s="29"/>
      <c r="AH323" s="29"/>
      <c r="AI323" s="29"/>
      <c r="AJ323" s="29"/>
    </row>
    <row r="324" spans="1:36" x14ac:dyDescent="0.2">
      <c r="A324" s="29"/>
      <c r="B324" s="29"/>
      <c r="C324" s="29"/>
      <c r="D324" s="29"/>
      <c r="E324" s="29"/>
      <c r="F324" s="29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29"/>
      <c r="AB324" s="29"/>
      <c r="AC324" s="29"/>
      <c r="AD324" s="29"/>
      <c r="AE324" s="29"/>
      <c r="AF324" s="29"/>
      <c r="AG324" s="29"/>
      <c r="AH324" s="29"/>
      <c r="AI324" s="29"/>
      <c r="AJ324" s="29"/>
    </row>
    <row r="325" spans="1:36" x14ac:dyDescent="0.2">
      <c r="A325" s="29"/>
      <c r="B325" s="29"/>
      <c r="C325" s="29"/>
      <c r="D325" s="29"/>
      <c r="E325" s="29"/>
      <c r="F325" s="29"/>
      <c r="G325" s="29"/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29"/>
      <c r="AB325" s="29"/>
      <c r="AC325" s="29"/>
      <c r="AD325" s="29"/>
      <c r="AE325" s="29"/>
      <c r="AF325" s="29"/>
      <c r="AG325" s="29"/>
      <c r="AH325" s="29"/>
      <c r="AI325" s="29"/>
      <c r="AJ325" s="29"/>
    </row>
    <row r="326" spans="1:36" x14ac:dyDescent="0.2">
      <c r="A326" s="29"/>
      <c r="B326" s="29"/>
      <c r="C326" s="29"/>
      <c r="D326" s="29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29"/>
      <c r="AB326" s="29"/>
      <c r="AC326" s="29"/>
      <c r="AD326" s="29"/>
      <c r="AE326" s="29"/>
      <c r="AF326" s="29"/>
      <c r="AG326" s="29"/>
      <c r="AH326" s="29"/>
      <c r="AI326" s="29"/>
      <c r="AJ326" s="29"/>
    </row>
    <row r="327" spans="1:36" x14ac:dyDescent="0.2">
      <c r="A327" s="29"/>
      <c r="B327" s="29"/>
      <c r="C327" s="29"/>
      <c r="D327" s="29"/>
      <c r="E327" s="29"/>
      <c r="F327" s="29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29"/>
      <c r="AB327" s="29"/>
      <c r="AC327" s="29"/>
      <c r="AD327" s="29"/>
      <c r="AE327" s="29"/>
      <c r="AF327" s="29"/>
      <c r="AG327" s="29"/>
      <c r="AH327" s="29"/>
      <c r="AI327" s="29"/>
      <c r="AJ327" s="29"/>
    </row>
    <row r="328" spans="1:36" x14ac:dyDescent="0.2">
      <c r="A328" s="29"/>
      <c r="B328" s="29"/>
      <c r="C328" s="29"/>
      <c r="D328" s="29"/>
      <c r="E328" s="29"/>
      <c r="F328" s="29"/>
      <c r="G328" s="29"/>
      <c r="H328" s="29"/>
      <c r="I328" s="29"/>
      <c r="J328" s="29"/>
      <c r="K328" s="29"/>
      <c r="L328" s="29"/>
      <c r="M328" s="29"/>
      <c r="N328" s="29"/>
      <c r="O328" s="29"/>
      <c r="P328" s="29"/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29"/>
      <c r="AB328" s="29"/>
      <c r="AC328" s="29"/>
      <c r="AD328" s="29"/>
      <c r="AE328" s="29"/>
      <c r="AF328" s="29"/>
      <c r="AG328" s="29"/>
      <c r="AH328" s="29"/>
      <c r="AI328" s="29"/>
      <c r="AJ328" s="29"/>
    </row>
    <row r="329" spans="1:36" x14ac:dyDescent="0.2">
      <c r="A329" s="29"/>
      <c r="B329" s="29"/>
      <c r="C329" s="29"/>
      <c r="D329" s="29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29"/>
      <c r="AB329" s="29"/>
      <c r="AC329" s="29"/>
      <c r="AD329" s="29"/>
      <c r="AE329" s="29"/>
      <c r="AF329" s="29"/>
      <c r="AG329" s="29"/>
      <c r="AH329" s="29"/>
      <c r="AI329" s="29"/>
      <c r="AJ329" s="29"/>
    </row>
    <row r="330" spans="1:36" x14ac:dyDescent="0.2">
      <c r="A330" s="29"/>
      <c r="B330" s="29"/>
      <c r="C330" s="29"/>
      <c r="D330" s="29"/>
      <c r="E330" s="29"/>
      <c r="F330" s="29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29"/>
      <c r="AB330" s="29"/>
      <c r="AC330" s="29"/>
      <c r="AD330" s="29"/>
      <c r="AE330" s="29"/>
      <c r="AF330" s="29"/>
      <c r="AG330" s="29"/>
      <c r="AH330" s="29"/>
      <c r="AI330" s="29"/>
      <c r="AJ330" s="29"/>
    </row>
    <row r="331" spans="1:36" x14ac:dyDescent="0.2">
      <c r="A331" s="29"/>
      <c r="B331" s="29"/>
      <c r="C331" s="29"/>
      <c r="D331" s="29"/>
      <c r="E331" s="29"/>
      <c r="F331" s="29"/>
      <c r="G331" s="29"/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29"/>
      <c r="AB331" s="29"/>
      <c r="AC331" s="29"/>
      <c r="AD331" s="29"/>
      <c r="AE331" s="29"/>
      <c r="AF331" s="29"/>
      <c r="AG331" s="29"/>
      <c r="AH331" s="29"/>
      <c r="AI331" s="29"/>
      <c r="AJ331" s="29"/>
    </row>
    <row r="332" spans="1:36" x14ac:dyDescent="0.2">
      <c r="A332" s="29"/>
      <c r="B332" s="29"/>
      <c r="C332" s="29"/>
      <c r="D332" s="29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29"/>
      <c r="AB332" s="29"/>
      <c r="AC332" s="29"/>
      <c r="AD332" s="29"/>
      <c r="AE332" s="29"/>
      <c r="AF332" s="29"/>
      <c r="AG332" s="29"/>
      <c r="AH332" s="29"/>
      <c r="AI332" s="29"/>
      <c r="AJ332" s="29"/>
    </row>
    <row r="333" spans="1:36" x14ac:dyDescent="0.2">
      <c r="A333" s="29"/>
      <c r="B333" s="29"/>
      <c r="C333" s="29"/>
      <c r="D333" s="29"/>
      <c r="E333" s="29"/>
      <c r="F333" s="29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29"/>
      <c r="AB333" s="29"/>
      <c r="AC333" s="29"/>
      <c r="AD333" s="29"/>
      <c r="AE333" s="29"/>
      <c r="AF333" s="29"/>
      <c r="AG333" s="29"/>
      <c r="AH333" s="29"/>
      <c r="AI333" s="29"/>
      <c r="AJ333" s="29"/>
    </row>
    <row r="334" spans="1:36" x14ac:dyDescent="0.2">
      <c r="A334" s="29"/>
      <c r="B334" s="29"/>
      <c r="C334" s="29"/>
      <c r="D334" s="29"/>
      <c r="E334" s="29"/>
      <c r="F334" s="29"/>
      <c r="G334" s="29"/>
      <c r="H334" s="29"/>
      <c r="I334" s="29"/>
      <c r="J334" s="29"/>
      <c r="K334" s="29"/>
      <c r="L334" s="29"/>
      <c r="M334" s="29"/>
      <c r="N334" s="29"/>
      <c r="O334" s="29"/>
      <c r="P334" s="29"/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29"/>
      <c r="AB334" s="29"/>
      <c r="AC334" s="29"/>
      <c r="AD334" s="29"/>
      <c r="AE334" s="29"/>
      <c r="AF334" s="29"/>
      <c r="AG334" s="29"/>
      <c r="AH334" s="29"/>
      <c r="AI334" s="29"/>
      <c r="AJ334" s="29"/>
    </row>
    <row r="335" spans="1:36" x14ac:dyDescent="0.2">
      <c r="A335" s="29"/>
      <c r="B335" s="29"/>
      <c r="C335" s="29"/>
      <c r="D335" s="29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29"/>
      <c r="AB335" s="29"/>
      <c r="AC335" s="29"/>
      <c r="AD335" s="29"/>
      <c r="AE335" s="29"/>
      <c r="AF335" s="29"/>
      <c r="AG335" s="29"/>
      <c r="AH335" s="29"/>
      <c r="AI335" s="29"/>
      <c r="AJ335" s="29"/>
    </row>
    <row r="336" spans="1:36" x14ac:dyDescent="0.2">
      <c r="A336" s="29"/>
      <c r="B336" s="29"/>
      <c r="C336" s="29"/>
      <c r="D336" s="29"/>
      <c r="E336" s="29"/>
      <c r="F336" s="29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29"/>
      <c r="AB336" s="29"/>
      <c r="AC336" s="29"/>
      <c r="AD336" s="29"/>
      <c r="AE336" s="29"/>
      <c r="AF336" s="29"/>
      <c r="AG336" s="29"/>
      <c r="AH336" s="29"/>
      <c r="AI336" s="29"/>
      <c r="AJ336" s="29"/>
    </row>
    <row r="337" spans="1:36" x14ac:dyDescent="0.2">
      <c r="A337" s="29"/>
      <c r="B337" s="29"/>
      <c r="C337" s="29"/>
      <c r="D337" s="29"/>
      <c r="E337" s="29"/>
      <c r="F337" s="29"/>
      <c r="G337" s="29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29"/>
      <c r="AB337" s="29"/>
      <c r="AC337" s="29"/>
      <c r="AD337" s="29"/>
      <c r="AE337" s="29"/>
      <c r="AF337" s="29"/>
      <c r="AG337" s="29"/>
      <c r="AH337" s="29"/>
      <c r="AI337" s="29"/>
      <c r="AJ337" s="29"/>
    </row>
    <row r="338" spans="1:36" x14ac:dyDescent="0.2">
      <c r="A338" s="29"/>
      <c r="B338" s="29"/>
      <c r="C338" s="29"/>
      <c r="D338" s="29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29"/>
      <c r="AB338" s="29"/>
      <c r="AC338" s="29"/>
      <c r="AD338" s="29"/>
      <c r="AE338" s="29"/>
      <c r="AF338" s="29"/>
      <c r="AG338" s="29"/>
      <c r="AH338" s="29"/>
      <c r="AI338" s="29"/>
      <c r="AJ338" s="29"/>
    </row>
    <row r="339" spans="1:36" x14ac:dyDescent="0.2">
      <c r="A339" s="29"/>
      <c r="B339" s="29"/>
      <c r="C339" s="29"/>
      <c r="D339" s="29"/>
      <c r="E339" s="29"/>
      <c r="F339" s="29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29"/>
      <c r="AB339" s="29"/>
      <c r="AC339" s="29"/>
      <c r="AD339" s="29"/>
      <c r="AE339" s="29"/>
      <c r="AF339" s="29"/>
      <c r="AG339" s="29"/>
      <c r="AH339" s="29"/>
      <c r="AI339" s="29"/>
      <c r="AJ339" s="29"/>
    </row>
    <row r="340" spans="1:36" x14ac:dyDescent="0.2">
      <c r="A340" s="29"/>
      <c r="B340" s="29"/>
      <c r="C340" s="29"/>
      <c r="D340" s="29"/>
      <c r="E340" s="29"/>
      <c r="F340" s="29"/>
      <c r="G340" s="29"/>
      <c r="H340" s="29"/>
      <c r="I340" s="29"/>
      <c r="J340" s="29"/>
      <c r="K340" s="29"/>
      <c r="L340" s="29"/>
      <c r="M340" s="29"/>
      <c r="N340" s="29"/>
      <c r="O340" s="29"/>
      <c r="P340" s="29"/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29"/>
      <c r="AB340" s="29"/>
      <c r="AC340" s="29"/>
      <c r="AD340" s="29"/>
      <c r="AE340" s="29"/>
      <c r="AF340" s="29"/>
      <c r="AG340" s="29"/>
      <c r="AH340" s="29"/>
      <c r="AI340" s="29"/>
      <c r="AJ340" s="29"/>
    </row>
    <row r="341" spans="1:36" x14ac:dyDescent="0.2">
      <c r="A341" s="29"/>
      <c r="B341" s="29"/>
      <c r="C341" s="29"/>
      <c r="D341" s="29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29"/>
      <c r="AB341" s="29"/>
      <c r="AC341" s="29"/>
      <c r="AD341" s="29"/>
      <c r="AE341" s="29"/>
      <c r="AF341" s="29"/>
      <c r="AG341" s="29"/>
      <c r="AH341" s="29"/>
      <c r="AI341" s="29"/>
      <c r="AJ341" s="29"/>
    </row>
    <row r="342" spans="1:36" x14ac:dyDescent="0.2">
      <c r="A342" s="29"/>
      <c r="B342" s="29"/>
      <c r="C342" s="29"/>
      <c r="D342" s="29"/>
      <c r="E342" s="29"/>
      <c r="F342" s="29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29"/>
      <c r="AB342" s="29"/>
      <c r="AC342" s="29"/>
      <c r="AD342" s="29"/>
      <c r="AE342" s="29"/>
      <c r="AF342" s="29"/>
      <c r="AG342" s="29"/>
      <c r="AH342" s="29"/>
      <c r="AI342" s="29"/>
      <c r="AJ342" s="29"/>
    </row>
    <row r="343" spans="1:36" x14ac:dyDescent="0.2">
      <c r="A343" s="29"/>
      <c r="B343" s="29"/>
      <c r="C343" s="29"/>
      <c r="D343" s="29"/>
      <c r="E343" s="29"/>
      <c r="F343" s="29"/>
      <c r="G343" s="29"/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29"/>
      <c r="AB343" s="29"/>
      <c r="AC343" s="29"/>
      <c r="AD343" s="29"/>
      <c r="AE343" s="29"/>
      <c r="AF343" s="29"/>
      <c r="AG343" s="29"/>
      <c r="AH343" s="29"/>
      <c r="AI343" s="29"/>
      <c r="AJ343" s="29"/>
    </row>
    <row r="344" spans="1:36" x14ac:dyDescent="0.2">
      <c r="A344" s="29"/>
      <c r="B344" s="29"/>
      <c r="C344" s="29"/>
      <c r="D344" s="29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29"/>
      <c r="AB344" s="29"/>
      <c r="AC344" s="29"/>
      <c r="AD344" s="29"/>
      <c r="AE344" s="29"/>
      <c r="AF344" s="29"/>
      <c r="AG344" s="29"/>
      <c r="AH344" s="29"/>
      <c r="AI344" s="29"/>
      <c r="AJ344" s="29"/>
    </row>
    <row r="345" spans="1:36" x14ac:dyDescent="0.2">
      <c r="A345" s="29"/>
      <c r="B345" s="29"/>
      <c r="C345" s="29"/>
      <c r="D345" s="29"/>
      <c r="E345" s="29"/>
      <c r="F345" s="29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29"/>
      <c r="AB345" s="29"/>
      <c r="AC345" s="29"/>
      <c r="AD345" s="29"/>
      <c r="AE345" s="29"/>
      <c r="AF345" s="29"/>
      <c r="AG345" s="29"/>
      <c r="AH345" s="29"/>
      <c r="AI345" s="29"/>
      <c r="AJ345" s="29"/>
    </row>
    <row r="346" spans="1:36" x14ac:dyDescent="0.2">
      <c r="A346" s="29"/>
      <c r="B346" s="29"/>
      <c r="C346" s="29"/>
      <c r="D346" s="29"/>
      <c r="E346" s="29"/>
      <c r="F346" s="29"/>
      <c r="G346" s="29"/>
      <c r="H346" s="29"/>
      <c r="I346" s="29"/>
      <c r="J346" s="29"/>
      <c r="K346" s="29"/>
      <c r="L346" s="29"/>
      <c r="M346" s="29"/>
      <c r="N346" s="29"/>
      <c r="O346" s="29"/>
      <c r="P346" s="29"/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29"/>
      <c r="AB346" s="29"/>
      <c r="AC346" s="29"/>
      <c r="AD346" s="29"/>
      <c r="AE346" s="29"/>
      <c r="AF346" s="29"/>
      <c r="AG346" s="29"/>
      <c r="AH346" s="29"/>
      <c r="AI346" s="29"/>
      <c r="AJ346" s="29"/>
    </row>
    <row r="347" spans="1:36" x14ac:dyDescent="0.2">
      <c r="A347" s="29"/>
      <c r="B347" s="29"/>
      <c r="C347" s="29"/>
      <c r="D347" s="29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29"/>
      <c r="AB347" s="29"/>
      <c r="AC347" s="29"/>
      <c r="AD347" s="29"/>
      <c r="AE347" s="29"/>
      <c r="AF347" s="29"/>
      <c r="AG347" s="29"/>
      <c r="AH347" s="29"/>
      <c r="AI347" s="29"/>
      <c r="AJ347" s="29"/>
    </row>
    <row r="348" spans="1:36" x14ac:dyDescent="0.2">
      <c r="A348" s="29"/>
      <c r="B348" s="29"/>
      <c r="C348" s="29"/>
      <c r="D348" s="29"/>
      <c r="E348" s="29"/>
      <c r="F348" s="29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29"/>
      <c r="AB348" s="29"/>
      <c r="AC348" s="29"/>
      <c r="AD348" s="29"/>
      <c r="AE348" s="29"/>
      <c r="AF348" s="29"/>
      <c r="AG348" s="29"/>
      <c r="AH348" s="29"/>
      <c r="AI348" s="29"/>
      <c r="AJ348" s="29"/>
    </row>
    <row r="349" spans="1:36" x14ac:dyDescent="0.2">
      <c r="A349" s="29"/>
      <c r="B349" s="29"/>
      <c r="C349" s="29"/>
      <c r="D349" s="29"/>
      <c r="E349" s="29"/>
      <c r="F349" s="29"/>
      <c r="G349" s="29"/>
      <c r="H349" s="29"/>
      <c r="I349" s="29"/>
      <c r="J349" s="29"/>
      <c r="K349" s="29"/>
      <c r="L349" s="29"/>
      <c r="M349" s="29"/>
      <c r="N349" s="29"/>
      <c r="O349" s="29"/>
      <c r="P349" s="29"/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29"/>
      <c r="AB349" s="29"/>
      <c r="AC349" s="29"/>
      <c r="AD349" s="29"/>
      <c r="AE349" s="29"/>
      <c r="AF349" s="29"/>
      <c r="AG349" s="29"/>
      <c r="AH349" s="29"/>
      <c r="AI349" s="29"/>
      <c r="AJ349" s="29"/>
    </row>
    <row r="350" spans="1:36" x14ac:dyDescent="0.2">
      <c r="A350" s="29"/>
      <c r="B350" s="29"/>
      <c r="C350" s="29"/>
      <c r="D350" s="29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29"/>
      <c r="AB350" s="29"/>
      <c r="AC350" s="29"/>
      <c r="AD350" s="29"/>
      <c r="AE350" s="29"/>
      <c r="AF350" s="29"/>
      <c r="AG350" s="29"/>
      <c r="AH350" s="29"/>
      <c r="AI350" s="29"/>
      <c r="AJ350" s="29"/>
    </row>
    <row r="351" spans="1:36" x14ac:dyDescent="0.2">
      <c r="A351" s="29"/>
      <c r="B351" s="29"/>
      <c r="C351" s="29"/>
      <c r="D351" s="29"/>
      <c r="E351" s="29"/>
      <c r="F351" s="29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29"/>
      <c r="AB351" s="29"/>
      <c r="AC351" s="29"/>
      <c r="AD351" s="29"/>
      <c r="AE351" s="29"/>
      <c r="AF351" s="29"/>
      <c r="AG351" s="29"/>
      <c r="AH351" s="29"/>
      <c r="AI351" s="29"/>
      <c r="AJ351" s="29"/>
    </row>
    <row r="352" spans="1:36" x14ac:dyDescent="0.2">
      <c r="A352" s="29"/>
      <c r="B352" s="29"/>
      <c r="C352" s="29"/>
      <c r="D352" s="29"/>
      <c r="E352" s="29"/>
      <c r="F352" s="29"/>
      <c r="G352" s="29"/>
      <c r="H352" s="29"/>
      <c r="I352" s="29"/>
      <c r="J352" s="29"/>
      <c r="K352" s="29"/>
      <c r="L352" s="29"/>
      <c r="M352" s="29"/>
      <c r="N352" s="29"/>
      <c r="O352" s="29"/>
      <c r="P352" s="29"/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29"/>
      <c r="AB352" s="29"/>
      <c r="AC352" s="29"/>
      <c r="AD352" s="29"/>
      <c r="AE352" s="29"/>
      <c r="AF352" s="29"/>
      <c r="AG352" s="29"/>
      <c r="AH352" s="29"/>
      <c r="AI352" s="29"/>
      <c r="AJ352" s="29"/>
    </row>
    <row r="353" spans="1:36" x14ac:dyDescent="0.2">
      <c r="A353" s="29"/>
      <c r="B353" s="29"/>
      <c r="C353" s="29"/>
      <c r="D353" s="29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29"/>
      <c r="AB353" s="29"/>
      <c r="AC353" s="29"/>
      <c r="AD353" s="29"/>
      <c r="AE353" s="29"/>
      <c r="AF353" s="29"/>
      <c r="AG353" s="29"/>
      <c r="AH353" s="29"/>
      <c r="AI353" s="29"/>
      <c r="AJ353" s="29"/>
    </row>
    <row r="354" spans="1:36" x14ac:dyDescent="0.2">
      <c r="A354" s="29"/>
      <c r="B354" s="29"/>
      <c r="C354" s="29"/>
      <c r="D354" s="29"/>
      <c r="E354" s="29"/>
      <c r="F354" s="29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29"/>
      <c r="AB354" s="29"/>
      <c r="AC354" s="29"/>
      <c r="AD354" s="29"/>
      <c r="AE354" s="29"/>
      <c r="AF354" s="29"/>
      <c r="AG354" s="29"/>
      <c r="AH354" s="29"/>
      <c r="AI354" s="29"/>
      <c r="AJ354" s="29"/>
    </row>
    <row r="355" spans="1:36" x14ac:dyDescent="0.2">
      <c r="A355" s="29"/>
      <c r="B355" s="29"/>
      <c r="C355" s="29"/>
      <c r="D355" s="29"/>
      <c r="E355" s="29"/>
      <c r="F355" s="29"/>
      <c r="G355" s="29"/>
      <c r="H355" s="29"/>
      <c r="I355" s="29"/>
      <c r="J355" s="29"/>
      <c r="K355" s="29"/>
      <c r="L355" s="29"/>
      <c r="M355" s="29"/>
      <c r="N355" s="29"/>
      <c r="O355" s="29"/>
      <c r="P355" s="29"/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29"/>
      <c r="AB355" s="29"/>
      <c r="AC355" s="29"/>
      <c r="AD355" s="29"/>
      <c r="AE355" s="29"/>
      <c r="AF355" s="29"/>
      <c r="AG355" s="29"/>
      <c r="AH355" s="29"/>
      <c r="AI355" s="29"/>
      <c r="AJ355" s="29"/>
    </row>
    <row r="356" spans="1:36" x14ac:dyDescent="0.2">
      <c r="A356" s="29"/>
      <c r="B356" s="29"/>
      <c r="C356" s="29"/>
      <c r="D356" s="29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29"/>
      <c r="AB356" s="29"/>
      <c r="AC356" s="29"/>
      <c r="AD356" s="29"/>
      <c r="AE356" s="29"/>
      <c r="AF356" s="29"/>
      <c r="AG356" s="29"/>
      <c r="AH356" s="29"/>
      <c r="AI356" s="29"/>
      <c r="AJ356" s="29"/>
    </row>
    <row r="357" spans="1:36" x14ac:dyDescent="0.2">
      <c r="A357" s="29"/>
      <c r="B357" s="29"/>
      <c r="C357" s="29"/>
      <c r="D357" s="29"/>
      <c r="E357" s="29"/>
      <c r="F357" s="29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29"/>
      <c r="AB357" s="29"/>
      <c r="AC357" s="29"/>
      <c r="AD357" s="29"/>
      <c r="AE357" s="29"/>
      <c r="AF357" s="29"/>
      <c r="AG357" s="29"/>
      <c r="AH357" s="29"/>
      <c r="AI357" s="29"/>
      <c r="AJ357" s="29"/>
    </row>
    <row r="358" spans="1:36" x14ac:dyDescent="0.2">
      <c r="A358" s="29"/>
      <c r="B358" s="29"/>
      <c r="C358" s="29"/>
      <c r="D358" s="29"/>
      <c r="E358" s="29"/>
      <c r="F358" s="29"/>
      <c r="G358" s="29"/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29"/>
      <c r="AB358" s="29"/>
      <c r="AC358" s="29"/>
      <c r="AD358" s="29"/>
      <c r="AE358" s="29"/>
      <c r="AF358" s="29"/>
      <c r="AG358" s="29"/>
      <c r="AH358" s="29"/>
      <c r="AI358" s="29"/>
      <c r="AJ358" s="29"/>
    </row>
    <row r="359" spans="1:36" x14ac:dyDescent="0.2">
      <c r="A359" s="29"/>
      <c r="B359" s="29"/>
      <c r="C359" s="29"/>
      <c r="D359" s="29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29"/>
      <c r="AB359" s="29"/>
      <c r="AC359" s="29"/>
      <c r="AD359" s="29"/>
      <c r="AE359" s="29"/>
      <c r="AF359" s="29"/>
      <c r="AG359" s="29"/>
      <c r="AH359" s="29"/>
      <c r="AI359" s="29"/>
      <c r="AJ359" s="29"/>
    </row>
    <row r="360" spans="1:36" x14ac:dyDescent="0.2">
      <c r="A360" s="29"/>
      <c r="B360" s="29"/>
      <c r="C360" s="29"/>
      <c r="D360" s="29"/>
      <c r="E360" s="29"/>
      <c r="F360" s="29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29"/>
      <c r="AB360" s="29"/>
      <c r="AC360" s="29"/>
      <c r="AD360" s="29"/>
      <c r="AE360" s="29"/>
      <c r="AF360" s="29"/>
      <c r="AG360" s="29"/>
      <c r="AH360" s="29"/>
      <c r="AI360" s="29"/>
      <c r="AJ360" s="29"/>
    </row>
    <row r="361" spans="1:36" x14ac:dyDescent="0.2">
      <c r="A361" s="29"/>
      <c r="B361" s="29"/>
      <c r="C361" s="29"/>
      <c r="D361" s="29"/>
      <c r="E361" s="29"/>
      <c r="F361" s="29"/>
      <c r="G361" s="29"/>
      <c r="H361" s="29"/>
      <c r="I361" s="29"/>
      <c r="J361" s="29"/>
      <c r="K361" s="29"/>
      <c r="L361" s="29"/>
      <c r="M361" s="29"/>
      <c r="N361" s="29"/>
      <c r="O361" s="29"/>
      <c r="P361" s="29"/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29"/>
      <c r="AB361" s="29"/>
      <c r="AC361" s="29"/>
      <c r="AD361" s="29"/>
      <c r="AE361" s="29"/>
      <c r="AF361" s="29"/>
      <c r="AG361" s="29"/>
      <c r="AH361" s="29"/>
      <c r="AI361" s="29"/>
      <c r="AJ361" s="29"/>
    </row>
    <row r="362" spans="1:36" x14ac:dyDescent="0.2">
      <c r="A362" s="29"/>
      <c r="B362" s="29"/>
      <c r="C362" s="29"/>
      <c r="D362" s="29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29"/>
      <c r="AB362" s="29"/>
      <c r="AC362" s="29"/>
      <c r="AD362" s="29"/>
      <c r="AE362" s="29"/>
      <c r="AF362" s="29"/>
      <c r="AG362" s="29"/>
      <c r="AH362" s="29"/>
      <c r="AI362" s="29"/>
      <c r="AJ362" s="29"/>
    </row>
    <row r="363" spans="1:36" x14ac:dyDescent="0.2">
      <c r="A363" s="29"/>
      <c r="B363" s="29"/>
      <c r="C363" s="29"/>
      <c r="D363" s="29"/>
      <c r="E363" s="29"/>
      <c r="F363" s="29"/>
      <c r="G363" s="29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29"/>
      <c r="AB363" s="29"/>
      <c r="AC363" s="29"/>
      <c r="AD363" s="29"/>
      <c r="AE363" s="29"/>
      <c r="AF363" s="29"/>
      <c r="AG363" s="29"/>
      <c r="AH363" s="29"/>
      <c r="AI363" s="29"/>
      <c r="AJ363" s="29"/>
    </row>
    <row r="364" spans="1:36" x14ac:dyDescent="0.2">
      <c r="A364" s="29"/>
      <c r="B364" s="29"/>
      <c r="C364" s="29"/>
      <c r="D364" s="29"/>
      <c r="E364" s="29"/>
      <c r="F364" s="29"/>
      <c r="G364" s="29"/>
      <c r="H364" s="29"/>
      <c r="I364" s="29"/>
      <c r="J364" s="29"/>
      <c r="K364" s="29"/>
      <c r="L364" s="29"/>
      <c r="M364" s="29"/>
      <c r="N364" s="29"/>
      <c r="O364" s="29"/>
      <c r="P364" s="29"/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29"/>
      <c r="AB364" s="29"/>
      <c r="AC364" s="29"/>
      <c r="AD364" s="29"/>
      <c r="AE364" s="29"/>
      <c r="AF364" s="29"/>
      <c r="AG364" s="29"/>
      <c r="AH364" s="29"/>
      <c r="AI364" s="29"/>
      <c r="AJ364" s="29"/>
    </row>
    <row r="365" spans="1:36" x14ac:dyDescent="0.2">
      <c r="A365" s="29"/>
      <c r="B365" s="29"/>
      <c r="C365" s="29"/>
      <c r="D365" s="29"/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29"/>
      <c r="AB365" s="29"/>
      <c r="AC365" s="29"/>
      <c r="AD365" s="29"/>
      <c r="AE365" s="29"/>
      <c r="AF365" s="29"/>
      <c r="AG365" s="29"/>
      <c r="AH365" s="29"/>
      <c r="AI365" s="29"/>
      <c r="AJ365" s="29"/>
    </row>
    <row r="366" spans="1:36" x14ac:dyDescent="0.2">
      <c r="A366" s="29"/>
      <c r="B366" s="29"/>
      <c r="C366" s="29"/>
      <c r="D366" s="29"/>
      <c r="E366" s="29"/>
      <c r="F366" s="29"/>
      <c r="G366" s="29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29"/>
      <c r="AB366" s="29"/>
      <c r="AC366" s="29"/>
      <c r="AD366" s="29"/>
      <c r="AE366" s="29"/>
      <c r="AF366" s="29"/>
      <c r="AG366" s="29"/>
      <c r="AH366" s="29"/>
      <c r="AI366" s="29"/>
      <c r="AJ366" s="29"/>
    </row>
    <row r="367" spans="1:36" x14ac:dyDescent="0.2">
      <c r="A367" s="29"/>
      <c r="B367" s="29"/>
      <c r="C367" s="29"/>
      <c r="D367" s="29"/>
      <c r="E367" s="29"/>
      <c r="F367" s="29"/>
      <c r="G367" s="29"/>
      <c r="H367" s="29"/>
      <c r="I367" s="29"/>
      <c r="J367" s="29"/>
      <c r="K367" s="29"/>
      <c r="L367" s="29"/>
      <c r="M367" s="29"/>
      <c r="N367" s="29"/>
      <c r="O367" s="29"/>
      <c r="P367" s="29"/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29"/>
      <c r="AB367" s="29"/>
      <c r="AC367" s="29"/>
      <c r="AD367" s="29"/>
      <c r="AE367" s="29"/>
      <c r="AF367" s="29"/>
      <c r="AG367" s="29"/>
      <c r="AH367" s="29"/>
      <c r="AI367" s="29"/>
      <c r="AJ367" s="29"/>
    </row>
    <row r="368" spans="1:36" x14ac:dyDescent="0.2">
      <c r="A368" s="29"/>
      <c r="B368" s="29"/>
      <c r="C368" s="29"/>
      <c r="D368" s="29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29"/>
      <c r="AB368" s="29"/>
      <c r="AC368" s="29"/>
      <c r="AD368" s="29"/>
      <c r="AE368" s="29"/>
      <c r="AF368" s="29"/>
      <c r="AG368" s="29"/>
      <c r="AH368" s="29"/>
      <c r="AI368" s="29"/>
      <c r="AJ368" s="29"/>
    </row>
    <row r="369" spans="1:36" x14ac:dyDescent="0.2">
      <c r="A369" s="29"/>
      <c r="B369" s="29"/>
      <c r="C369" s="29"/>
      <c r="D369" s="29"/>
      <c r="E369" s="29"/>
      <c r="F369" s="29"/>
      <c r="G369" s="29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29"/>
      <c r="AB369" s="29"/>
      <c r="AC369" s="29"/>
      <c r="AD369" s="29"/>
      <c r="AE369" s="29"/>
      <c r="AF369" s="29"/>
      <c r="AG369" s="29"/>
      <c r="AH369" s="29"/>
      <c r="AI369" s="29"/>
      <c r="AJ369" s="29"/>
    </row>
    <row r="370" spans="1:36" x14ac:dyDescent="0.2">
      <c r="A370" s="29"/>
      <c r="B370" s="29"/>
      <c r="C370" s="29"/>
      <c r="D370" s="29"/>
      <c r="E370" s="29"/>
      <c r="F370" s="29"/>
      <c r="G370" s="29"/>
      <c r="H370" s="29"/>
      <c r="I370" s="29"/>
      <c r="J370" s="29"/>
      <c r="K370" s="29"/>
      <c r="L370" s="29"/>
      <c r="M370" s="29"/>
      <c r="N370" s="29"/>
      <c r="O370" s="29"/>
      <c r="P370" s="29"/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29"/>
      <c r="AB370" s="29"/>
      <c r="AC370" s="29"/>
      <c r="AD370" s="29"/>
      <c r="AE370" s="29"/>
      <c r="AF370" s="29"/>
      <c r="AG370" s="29"/>
      <c r="AH370" s="29"/>
      <c r="AI370" s="29"/>
      <c r="AJ370" s="29"/>
    </row>
    <row r="371" spans="1:36" x14ac:dyDescent="0.2">
      <c r="A371" s="29"/>
      <c r="B371" s="29"/>
      <c r="C371" s="29"/>
      <c r="D371" s="29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29"/>
      <c r="AB371" s="29"/>
      <c r="AC371" s="29"/>
      <c r="AD371" s="29"/>
      <c r="AE371" s="29"/>
      <c r="AF371" s="29"/>
      <c r="AG371" s="29"/>
      <c r="AH371" s="29"/>
      <c r="AI371" s="29"/>
      <c r="AJ371" s="29"/>
    </row>
    <row r="372" spans="1:36" x14ac:dyDescent="0.2">
      <c r="A372" s="29"/>
      <c r="B372" s="29"/>
      <c r="C372" s="29"/>
      <c r="D372" s="29"/>
      <c r="E372" s="29"/>
      <c r="F372" s="29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29"/>
      <c r="AB372" s="29"/>
      <c r="AC372" s="29"/>
      <c r="AD372" s="29"/>
      <c r="AE372" s="29"/>
      <c r="AF372" s="29"/>
      <c r="AG372" s="29"/>
      <c r="AH372" s="29"/>
      <c r="AI372" s="29"/>
      <c r="AJ372" s="29"/>
    </row>
    <row r="373" spans="1:36" x14ac:dyDescent="0.2">
      <c r="A373" s="29"/>
      <c r="B373" s="29"/>
      <c r="C373" s="29"/>
      <c r="D373" s="29"/>
      <c r="E373" s="29"/>
      <c r="F373" s="29"/>
      <c r="G373" s="29"/>
      <c r="H373" s="29"/>
      <c r="I373" s="29"/>
      <c r="J373" s="29"/>
      <c r="K373" s="29"/>
      <c r="L373" s="29"/>
      <c r="M373" s="29"/>
      <c r="N373" s="29"/>
      <c r="O373" s="29"/>
      <c r="P373" s="29"/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29"/>
      <c r="AB373" s="29"/>
      <c r="AC373" s="29"/>
      <c r="AD373" s="29"/>
      <c r="AE373" s="29"/>
      <c r="AF373" s="29"/>
      <c r="AG373" s="29"/>
      <c r="AH373" s="29"/>
      <c r="AI373" s="29"/>
      <c r="AJ373" s="29"/>
    </row>
    <row r="374" spans="1:36" x14ac:dyDescent="0.2">
      <c r="A374" s="29"/>
      <c r="B374" s="29"/>
      <c r="C374" s="29"/>
      <c r="D374" s="29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29"/>
      <c r="AB374" s="29"/>
      <c r="AC374" s="29"/>
      <c r="AD374" s="29"/>
      <c r="AE374" s="29"/>
      <c r="AF374" s="29"/>
      <c r="AG374" s="29"/>
      <c r="AH374" s="29"/>
      <c r="AI374" s="29"/>
      <c r="AJ374" s="29"/>
    </row>
    <row r="375" spans="1:36" x14ac:dyDescent="0.2">
      <c r="A375" s="29"/>
      <c r="B375" s="29"/>
      <c r="C375" s="29"/>
      <c r="D375" s="29"/>
      <c r="E375" s="29"/>
      <c r="F375" s="29"/>
      <c r="G375" s="29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29"/>
      <c r="AB375" s="29"/>
      <c r="AC375" s="29"/>
      <c r="AD375" s="29"/>
      <c r="AE375" s="29"/>
      <c r="AF375" s="29"/>
      <c r="AG375" s="29"/>
      <c r="AH375" s="29"/>
      <c r="AI375" s="29"/>
      <c r="AJ375" s="29"/>
    </row>
    <row r="376" spans="1:36" x14ac:dyDescent="0.2">
      <c r="A376" s="29"/>
      <c r="B376" s="29"/>
      <c r="C376" s="29"/>
      <c r="D376" s="29"/>
      <c r="E376" s="29"/>
      <c r="F376" s="29"/>
      <c r="G376" s="29"/>
      <c r="H376" s="29"/>
      <c r="I376" s="29"/>
      <c r="J376" s="29"/>
      <c r="K376" s="29"/>
      <c r="L376" s="29"/>
      <c r="M376" s="29"/>
      <c r="N376" s="29"/>
      <c r="O376" s="29"/>
      <c r="P376" s="29"/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29"/>
      <c r="AB376" s="29"/>
      <c r="AC376" s="29"/>
      <c r="AD376" s="29"/>
      <c r="AE376" s="29"/>
      <c r="AF376" s="29"/>
      <c r="AG376" s="29"/>
      <c r="AH376" s="29"/>
      <c r="AI376" s="29"/>
      <c r="AJ376" s="29"/>
    </row>
    <row r="377" spans="1:36" x14ac:dyDescent="0.2">
      <c r="A377" s="29"/>
      <c r="B377" s="29"/>
      <c r="C377" s="29"/>
      <c r="D377" s="29"/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29"/>
      <c r="AB377" s="29"/>
      <c r="AC377" s="29"/>
      <c r="AD377" s="29"/>
      <c r="AE377" s="29"/>
      <c r="AF377" s="29"/>
      <c r="AG377" s="29"/>
      <c r="AH377" s="29"/>
      <c r="AI377" s="29"/>
      <c r="AJ377" s="29"/>
    </row>
    <row r="378" spans="1:36" x14ac:dyDescent="0.2">
      <c r="A378" s="29"/>
      <c r="B378" s="29"/>
      <c r="C378" s="29"/>
      <c r="D378" s="29"/>
      <c r="E378" s="29"/>
      <c r="F378" s="29"/>
      <c r="G378" s="29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29"/>
      <c r="AB378" s="29"/>
      <c r="AC378" s="29"/>
      <c r="AD378" s="29"/>
      <c r="AE378" s="29"/>
      <c r="AF378" s="29"/>
      <c r="AG378" s="29"/>
      <c r="AH378" s="29"/>
      <c r="AI378" s="29"/>
      <c r="AJ378" s="29"/>
    </row>
    <row r="379" spans="1:36" x14ac:dyDescent="0.2">
      <c r="A379" s="29"/>
      <c r="B379" s="29"/>
      <c r="C379" s="29"/>
      <c r="D379" s="29"/>
      <c r="E379" s="29"/>
      <c r="F379" s="29"/>
      <c r="G379" s="29"/>
      <c r="H379" s="29"/>
      <c r="I379" s="29"/>
      <c r="J379" s="29"/>
      <c r="K379" s="29"/>
      <c r="L379" s="29"/>
      <c r="M379" s="29"/>
      <c r="N379" s="29"/>
      <c r="O379" s="29"/>
      <c r="P379" s="29"/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29"/>
      <c r="AB379" s="29"/>
      <c r="AC379" s="29"/>
      <c r="AD379" s="29"/>
      <c r="AE379" s="29"/>
      <c r="AF379" s="29"/>
      <c r="AG379" s="29"/>
      <c r="AH379" s="29"/>
      <c r="AI379" s="29"/>
      <c r="AJ379" s="29"/>
    </row>
    <row r="380" spans="1:36" x14ac:dyDescent="0.2">
      <c r="A380" s="29"/>
      <c r="B380" s="29"/>
      <c r="C380" s="29"/>
      <c r="D380" s="29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29"/>
      <c r="AB380" s="29"/>
      <c r="AC380" s="29"/>
      <c r="AD380" s="29"/>
      <c r="AE380" s="29"/>
      <c r="AF380" s="29"/>
      <c r="AG380" s="29"/>
      <c r="AH380" s="29"/>
      <c r="AI380" s="29"/>
      <c r="AJ380" s="29"/>
    </row>
    <row r="381" spans="1:36" x14ac:dyDescent="0.2">
      <c r="A381" s="29"/>
      <c r="B381" s="29"/>
      <c r="C381" s="29"/>
      <c r="D381" s="29"/>
      <c r="E381" s="29"/>
      <c r="F381" s="29"/>
      <c r="G381" s="29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29"/>
      <c r="AB381" s="29"/>
      <c r="AC381" s="29"/>
      <c r="AD381" s="29"/>
      <c r="AE381" s="29"/>
      <c r="AF381" s="29"/>
      <c r="AG381" s="29"/>
      <c r="AH381" s="29"/>
      <c r="AI381" s="29"/>
      <c r="AJ381" s="29"/>
    </row>
    <row r="382" spans="1:36" x14ac:dyDescent="0.2">
      <c r="A382" s="29"/>
      <c r="B382" s="29"/>
      <c r="C382" s="29"/>
      <c r="D382" s="29"/>
      <c r="E382" s="29"/>
      <c r="F382" s="29"/>
      <c r="G382" s="29"/>
      <c r="H382" s="29"/>
      <c r="I382" s="29"/>
      <c r="J382" s="29"/>
      <c r="K382" s="29"/>
      <c r="L382" s="29"/>
      <c r="M382" s="29"/>
      <c r="N382" s="29"/>
      <c r="O382" s="29"/>
      <c r="P382" s="29"/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29"/>
      <c r="AB382" s="29"/>
      <c r="AC382" s="29"/>
      <c r="AD382" s="29"/>
      <c r="AE382" s="29"/>
      <c r="AF382" s="29"/>
      <c r="AG382" s="29"/>
      <c r="AH382" s="29"/>
      <c r="AI382" s="29"/>
      <c r="AJ382" s="29"/>
    </row>
    <row r="383" spans="1:36" x14ac:dyDescent="0.2">
      <c r="A383" s="29"/>
      <c r="B383" s="29"/>
      <c r="C383" s="29"/>
      <c r="D383" s="29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29"/>
      <c r="AB383" s="29"/>
      <c r="AC383" s="29"/>
      <c r="AD383" s="29"/>
      <c r="AE383" s="29"/>
      <c r="AF383" s="29"/>
      <c r="AG383" s="29"/>
      <c r="AH383" s="29"/>
      <c r="AI383" s="29"/>
      <c r="AJ383" s="29"/>
    </row>
    <row r="384" spans="1:36" x14ac:dyDescent="0.2">
      <c r="A384" s="29"/>
      <c r="B384" s="29"/>
      <c r="C384" s="29"/>
      <c r="D384" s="29"/>
      <c r="E384" s="29"/>
      <c r="F384" s="29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29"/>
      <c r="AB384" s="29"/>
      <c r="AC384" s="29"/>
      <c r="AD384" s="29"/>
      <c r="AE384" s="29"/>
      <c r="AF384" s="29"/>
      <c r="AG384" s="29"/>
      <c r="AH384" s="29"/>
      <c r="AI384" s="29"/>
      <c r="AJ384" s="29"/>
    </row>
    <row r="385" spans="1:36" x14ac:dyDescent="0.2">
      <c r="A385" s="29"/>
      <c r="B385" s="29"/>
      <c r="C385" s="29"/>
      <c r="D385" s="29"/>
      <c r="E385" s="29"/>
      <c r="F385" s="29"/>
      <c r="G385" s="29"/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29"/>
      <c r="AB385" s="29"/>
      <c r="AC385" s="29"/>
      <c r="AD385" s="29"/>
      <c r="AE385" s="29"/>
      <c r="AF385" s="29"/>
      <c r="AG385" s="29"/>
      <c r="AH385" s="29"/>
      <c r="AI385" s="29"/>
      <c r="AJ385" s="29"/>
    </row>
    <row r="386" spans="1:36" x14ac:dyDescent="0.2">
      <c r="A386" s="29"/>
      <c r="B386" s="29"/>
      <c r="C386" s="29"/>
      <c r="D386" s="29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29"/>
      <c r="AB386" s="29"/>
      <c r="AC386" s="29"/>
      <c r="AD386" s="29"/>
      <c r="AE386" s="29"/>
      <c r="AF386" s="29"/>
      <c r="AG386" s="29"/>
      <c r="AH386" s="29"/>
      <c r="AI386" s="29"/>
      <c r="AJ386" s="29"/>
    </row>
    <row r="387" spans="1:36" x14ac:dyDescent="0.2">
      <c r="A387" s="29"/>
      <c r="B387" s="29"/>
      <c r="C387" s="29"/>
      <c r="D387" s="29"/>
      <c r="E387" s="29"/>
      <c r="F387" s="29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29"/>
      <c r="AB387" s="29"/>
      <c r="AC387" s="29"/>
      <c r="AD387" s="29"/>
      <c r="AE387" s="29"/>
      <c r="AF387" s="29"/>
      <c r="AG387" s="29"/>
      <c r="AH387" s="29"/>
      <c r="AI387" s="29"/>
      <c r="AJ387" s="29"/>
    </row>
    <row r="388" spans="1:36" x14ac:dyDescent="0.2">
      <c r="A388" s="29"/>
      <c r="B388" s="29"/>
      <c r="C388" s="29"/>
      <c r="D388" s="29"/>
      <c r="E388" s="29"/>
      <c r="F388" s="29"/>
      <c r="G388" s="29"/>
      <c r="H388" s="29"/>
      <c r="I388" s="29"/>
      <c r="J388" s="29"/>
      <c r="K388" s="29"/>
      <c r="L388" s="29"/>
      <c r="M388" s="29"/>
      <c r="N388" s="29"/>
      <c r="O388" s="29"/>
      <c r="P388" s="29"/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29"/>
      <c r="AB388" s="29"/>
      <c r="AC388" s="29"/>
      <c r="AD388" s="29"/>
      <c r="AE388" s="29"/>
      <c r="AF388" s="29"/>
      <c r="AG388" s="29"/>
      <c r="AH388" s="29"/>
      <c r="AI388" s="29"/>
      <c r="AJ388" s="29"/>
    </row>
    <row r="389" spans="1:36" x14ac:dyDescent="0.2">
      <c r="A389" s="29"/>
      <c r="B389" s="29"/>
      <c r="C389" s="29"/>
      <c r="D389" s="29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29"/>
      <c r="AB389" s="29"/>
      <c r="AC389" s="29"/>
      <c r="AD389" s="29"/>
      <c r="AE389" s="29"/>
      <c r="AF389" s="29"/>
      <c r="AG389" s="29"/>
      <c r="AH389" s="29"/>
      <c r="AI389" s="29"/>
      <c r="AJ389" s="29"/>
    </row>
    <row r="390" spans="1:36" x14ac:dyDescent="0.2">
      <c r="A390" s="29"/>
      <c r="B390" s="29"/>
      <c r="C390" s="29"/>
      <c r="D390" s="29"/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29"/>
      <c r="AB390" s="29"/>
      <c r="AC390" s="29"/>
      <c r="AD390" s="29"/>
      <c r="AE390" s="29"/>
      <c r="AF390" s="29"/>
      <c r="AG390" s="29"/>
      <c r="AH390" s="29"/>
      <c r="AI390" s="29"/>
      <c r="AJ390" s="29"/>
    </row>
    <row r="391" spans="1:36" x14ac:dyDescent="0.2">
      <c r="A391" s="29"/>
      <c r="B391" s="29"/>
      <c r="C391" s="29"/>
      <c r="D391" s="29"/>
      <c r="E391" s="29"/>
      <c r="F391" s="29"/>
      <c r="G391" s="29"/>
      <c r="H391" s="29"/>
      <c r="I391" s="29"/>
      <c r="J391" s="29"/>
      <c r="K391" s="29"/>
      <c r="L391" s="29"/>
      <c r="M391" s="29"/>
      <c r="N391" s="29"/>
      <c r="O391" s="29"/>
      <c r="P391" s="29"/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29"/>
      <c r="AB391" s="29"/>
      <c r="AC391" s="29"/>
      <c r="AD391" s="29"/>
      <c r="AE391" s="29"/>
      <c r="AF391" s="29"/>
      <c r="AG391" s="29"/>
      <c r="AH391" s="29"/>
      <c r="AI391" s="29"/>
      <c r="AJ391" s="29"/>
    </row>
    <row r="392" spans="1:36" x14ac:dyDescent="0.2">
      <c r="A392" s="29"/>
      <c r="B392" s="29"/>
      <c r="C392" s="29"/>
      <c r="D392" s="29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29"/>
      <c r="AB392" s="29"/>
      <c r="AC392" s="29"/>
      <c r="AD392" s="29"/>
      <c r="AE392" s="29"/>
      <c r="AF392" s="29"/>
      <c r="AG392" s="29"/>
      <c r="AH392" s="29"/>
      <c r="AI392" s="29"/>
      <c r="AJ392" s="29"/>
    </row>
    <row r="393" spans="1:36" x14ac:dyDescent="0.2">
      <c r="A393" s="29"/>
      <c r="B393" s="29"/>
      <c r="C393" s="29"/>
      <c r="D393" s="29"/>
      <c r="E393" s="29"/>
      <c r="F393" s="29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29"/>
      <c r="AB393" s="29"/>
      <c r="AC393" s="29"/>
      <c r="AD393" s="29"/>
      <c r="AE393" s="29"/>
      <c r="AF393" s="29"/>
      <c r="AG393" s="29"/>
      <c r="AH393" s="29"/>
      <c r="AI393" s="29"/>
      <c r="AJ393" s="29"/>
    </row>
    <row r="394" spans="1:36" x14ac:dyDescent="0.2">
      <c r="A394" s="29"/>
      <c r="B394" s="29"/>
      <c r="C394" s="29"/>
      <c r="D394" s="29"/>
      <c r="E394" s="29"/>
      <c r="F394" s="29"/>
      <c r="G394" s="29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29"/>
      <c r="AB394" s="29"/>
      <c r="AC394" s="29"/>
      <c r="AD394" s="29"/>
      <c r="AE394" s="29"/>
      <c r="AF394" s="29"/>
      <c r="AG394" s="29"/>
      <c r="AH394" s="29"/>
      <c r="AI394" s="29"/>
      <c r="AJ394" s="29"/>
    </row>
    <row r="395" spans="1:36" x14ac:dyDescent="0.2">
      <c r="A395" s="29"/>
      <c r="B395" s="29"/>
      <c r="C395" s="29"/>
      <c r="D395" s="29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29"/>
      <c r="AB395" s="29"/>
      <c r="AC395" s="29"/>
      <c r="AD395" s="29"/>
      <c r="AE395" s="29"/>
      <c r="AF395" s="29"/>
      <c r="AG395" s="29"/>
      <c r="AH395" s="29"/>
      <c r="AI395" s="29"/>
      <c r="AJ395" s="29"/>
    </row>
    <row r="396" spans="1:36" x14ac:dyDescent="0.2">
      <c r="A396" s="29"/>
      <c r="B396" s="29"/>
      <c r="C396" s="29"/>
      <c r="D396" s="29"/>
      <c r="E396" s="29"/>
      <c r="F396" s="29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29"/>
      <c r="AB396" s="29"/>
      <c r="AC396" s="29"/>
      <c r="AD396" s="29"/>
      <c r="AE396" s="29"/>
      <c r="AF396" s="29"/>
      <c r="AG396" s="29"/>
      <c r="AH396" s="29"/>
      <c r="AI396" s="29"/>
      <c r="AJ396" s="29"/>
    </row>
    <row r="397" spans="1:36" x14ac:dyDescent="0.2">
      <c r="A397" s="29"/>
      <c r="B397" s="29"/>
      <c r="C397" s="29"/>
      <c r="D397" s="29"/>
      <c r="E397" s="29"/>
      <c r="F397" s="29"/>
      <c r="G397" s="29"/>
      <c r="H397" s="29"/>
      <c r="I397" s="29"/>
      <c r="J397" s="29"/>
      <c r="K397" s="29"/>
      <c r="L397" s="29"/>
      <c r="M397" s="29"/>
      <c r="N397" s="29"/>
      <c r="O397" s="29"/>
      <c r="P397" s="29"/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29"/>
      <c r="AB397" s="29"/>
      <c r="AC397" s="29"/>
      <c r="AD397" s="29"/>
      <c r="AE397" s="29"/>
      <c r="AF397" s="29"/>
      <c r="AG397" s="29"/>
      <c r="AH397" s="29"/>
      <c r="AI397" s="29"/>
      <c r="AJ397" s="29"/>
    </row>
    <row r="398" spans="1:36" x14ac:dyDescent="0.2">
      <c r="A398" s="29"/>
      <c r="B398" s="29"/>
      <c r="C398" s="29"/>
      <c r="D398" s="29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29"/>
      <c r="AB398" s="29"/>
      <c r="AC398" s="29"/>
      <c r="AD398" s="29"/>
      <c r="AE398" s="29"/>
      <c r="AF398" s="29"/>
      <c r="AG398" s="29"/>
      <c r="AH398" s="29"/>
      <c r="AI398" s="29"/>
      <c r="AJ398" s="29"/>
    </row>
    <row r="399" spans="1:36" x14ac:dyDescent="0.2">
      <c r="A399" s="29"/>
      <c r="B399" s="29"/>
      <c r="C399" s="29"/>
      <c r="D399" s="29"/>
      <c r="E399" s="29"/>
      <c r="F399" s="29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29"/>
      <c r="AB399" s="29"/>
      <c r="AC399" s="29"/>
      <c r="AD399" s="29"/>
      <c r="AE399" s="29"/>
      <c r="AF399" s="29"/>
      <c r="AG399" s="29"/>
      <c r="AH399" s="29"/>
      <c r="AI399" s="29"/>
      <c r="AJ399" s="29"/>
    </row>
    <row r="400" spans="1:36" x14ac:dyDescent="0.2">
      <c r="A400" s="29"/>
      <c r="B400" s="29"/>
      <c r="C400" s="29"/>
      <c r="D400" s="29"/>
      <c r="E400" s="29"/>
      <c r="F400" s="29"/>
      <c r="G400" s="29"/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29"/>
      <c r="AB400" s="29"/>
      <c r="AC400" s="29"/>
      <c r="AD400" s="29"/>
      <c r="AE400" s="29"/>
      <c r="AF400" s="29"/>
      <c r="AG400" s="29"/>
      <c r="AH400" s="29"/>
      <c r="AI400" s="29"/>
      <c r="AJ400" s="29"/>
    </row>
    <row r="401" spans="1:36" x14ac:dyDescent="0.2">
      <c r="A401" s="29"/>
      <c r="B401" s="29"/>
      <c r="C401" s="29"/>
      <c r="D401" s="29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29"/>
      <c r="AB401" s="29"/>
      <c r="AC401" s="29"/>
      <c r="AD401" s="29"/>
      <c r="AE401" s="29"/>
      <c r="AF401" s="29"/>
      <c r="AG401" s="29"/>
      <c r="AH401" s="29"/>
      <c r="AI401" s="29"/>
      <c r="AJ401" s="29"/>
    </row>
    <row r="402" spans="1:36" x14ac:dyDescent="0.2">
      <c r="A402" s="29"/>
      <c r="B402" s="29"/>
      <c r="C402" s="29"/>
      <c r="D402" s="29"/>
      <c r="E402" s="29"/>
      <c r="F402" s="29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29"/>
      <c r="AB402" s="29"/>
      <c r="AC402" s="29"/>
      <c r="AD402" s="29"/>
      <c r="AE402" s="29"/>
      <c r="AF402" s="29"/>
      <c r="AG402" s="29"/>
      <c r="AH402" s="29"/>
      <c r="AI402" s="29"/>
      <c r="AJ402" s="29"/>
    </row>
    <row r="403" spans="1:36" x14ac:dyDescent="0.2">
      <c r="A403" s="29"/>
      <c r="B403" s="29"/>
      <c r="C403" s="29"/>
      <c r="D403" s="29"/>
      <c r="E403" s="29"/>
      <c r="F403" s="29"/>
      <c r="G403" s="29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29"/>
      <c r="AB403" s="29"/>
      <c r="AC403" s="29"/>
      <c r="AD403" s="29"/>
      <c r="AE403" s="29"/>
      <c r="AF403" s="29"/>
      <c r="AG403" s="29"/>
      <c r="AH403" s="29"/>
      <c r="AI403" s="29"/>
      <c r="AJ403" s="29"/>
    </row>
    <row r="404" spans="1:36" x14ac:dyDescent="0.2">
      <c r="A404" s="29"/>
      <c r="B404" s="29"/>
      <c r="C404" s="29"/>
      <c r="D404" s="29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29"/>
      <c r="AB404" s="29"/>
      <c r="AC404" s="29"/>
      <c r="AD404" s="29"/>
      <c r="AE404" s="29"/>
      <c r="AF404" s="29"/>
      <c r="AG404" s="29"/>
      <c r="AH404" s="29"/>
      <c r="AI404" s="29"/>
      <c r="AJ404" s="29"/>
    </row>
    <row r="405" spans="1:36" x14ac:dyDescent="0.2">
      <c r="A405" s="29"/>
      <c r="B405" s="29"/>
      <c r="C405" s="29"/>
      <c r="D405" s="29"/>
      <c r="E405" s="29"/>
      <c r="F405" s="29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29"/>
      <c r="AB405" s="29"/>
      <c r="AC405" s="29"/>
      <c r="AD405" s="29"/>
      <c r="AE405" s="29"/>
      <c r="AF405" s="29"/>
      <c r="AG405" s="29"/>
      <c r="AH405" s="29"/>
      <c r="AI405" s="29"/>
      <c r="AJ405" s="29"/>
    </row>
    <row r="406" spans="1:36" x14ac:dyDescent="0.2">
      <c r="A406" s="29"/>
      <c r="B406" s="29"/>
      <c r="C406" s="29"/>
      <c r="D406" s="29"/>
      <c r="E406" s="29"/>
      <c r="F406" s="29"/>
      <c r="G406" s="29"/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29"/>
      <c r="AB406" s="29"/>
      <c r="AC406" s="29"/>
      <c r="AD406" s="29"/>
      <c r="AE406" s="29"/>
      <c r="AF406" s="29"/>
      <c r="AG406" s="29"/>
      <c r="AH406" s="29"/>
      <c r="AI406" s="29"/>
      <c r="AJ406" s="29"/>
    </row>
    <row r="407" spans="1:36" x14ac:dyDescent="0.2">
      <c r="A407" s="29"/>
      <c r="B407" s="29"/>
      <c r="C407" s="29"/>
      <c r="D407" s="29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29"/>
      <c r="AB407" s="29"/>
      <c r="AC407" s="29"/>
      <c r="AD407" s="29"/>
      <c r="AE407" s="29"/>
      <c r="AF407" s="29"/>
      <c r="AG407" s="29"/>
      <c r="AH407" s="29"/>
      <c r="AI407" s="29"/>
      <c r="AJ407" s="29"/>
    </row>
    <row r="408" spans="1:36" x14ac:dyDescent="0.2">
      <c r="A408" s="29"/>
      <c r="B408" s="29"/>
      <c r="C408" s="29"/>
      <c r="D408" s="29"/>
      <c r="E408" s="29"/>
      <c r="F408" s="29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29"/>
      <c r="AB408" s="29"/>
      <c r="AC408" s="29"/>
      <c r="AD408" s="29"/>
      <c r="AE408" s="29"/>
      <c r="AF408" s="29"/>
      <c r="AG408" s="29"/>
      <c r="AH408" s="29"/>
      <c r="AI408" s="29"/>
      <c r="AJ408" s="29"/>
    </row>
    <row r="409" spans="1:36" x14ac:dyDescent="0.2">
      <c r="A409" s="29"/>
      <c r="B409" s="29"/>
      <c r="C409" s="29"/>
      <c r="D409" s="29"/>
      <c r="E409" s="29"/>
      <c r="F409" s="29"/>
      <c r="G409" s="29"/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29"/>
      <c r="AB409" s="29"/>
      <c r="AC409" s="29"/>
      <c r="AD409" s="29"/>
      <c r="AE409" s="29"/>
      <c r="AF409" s="29"/>
      <c r="AG409" s="29"/>
      <c r="AH409" s="29"/>
      <c r="AI409" s="29"/>
      <c r="AJ409" s="29"/>
    </row>
    <row r="410" spans="1:36" x14ac:dyDescent="0.2">
      <c r="A410" s="29"/>
      <c r="B410" s="29"/>
      <c r="C410" s="29"/>
      <c r="D410" s="29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29"/>
      <c r="AB410" s="29"/>
      <c r="AC410" s="29"/>
      <c r="AD410" s="29"/>
      <c r="AE410" s="29"/>
      <c r="AF410" s="29"/>
      <c r="AG410" s="29"/>
      <c r="AH410" s="29"/>
      <c r="AI410" s="29"/>
      <c r="AJ410" s="29"/>
    </row>
    <row r="411" spans="1:36" x14ac:dyDescent="0.2">
      <c r="A411" s="29"/>
      <c r="B411" s="29"/>
      <c r="C411" s="29"/>
      <c r="D411" s="29"/>
      <c r="E411" s="29"/>
      <c r="F411" s="29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29"/>
      <c r="AB411" s="29"/>
      <c r="AC411" s="29"/>
      <c r="AD411" s="29"/>
      <c r="AE411" s="29"/>
      <c r="AF411" s="29"/>
      <c r="AG411" s="29"/>
      <c r="AH411" s="29"/>
      <c r="AI411" s="29"/>
      <c r="AJ411" s="29"/>
    </row>
    <row r="412" spans="1:36" x14ac:dyDescent="0.2">
      <c r="A412" s="29"/>
      <c r="B412" s="29"/>
      <c r="C412" s="29"/>
      <c r="D412" s="29"/>
      <c r="E412" s="29"/>
      <c r="F412" s="29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29"/>
      <c r="AB412" s="29"/>
      <c r="AC412" s="29"/>
      <c r="AD412" s="29"/>
      <c r="AE412" s="29"/>
      <c r="AF412" s="29"/>
      <c r="AG412" s="29"/>
      <c r="AH412" s="29"/>
      <c r="AI412" s="29"/>
      <c r="AJ412" s="29"/>
    </row>
    <row r="413" spans="1:36" x14ac:dyDescent="0.2">
      <c r="A413" s="29"/>
      <c r="B413" s="29"/>
      <c r="C413" s="29"/>
      <c r="D413" s="29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29"/>
      <c r="AB413" s="29"/>
      <c r="AC413" s="29"/>
      <c r="AD413" s="29"/>
      <c r="AE413" s="29"/>
      <c r="AF413" s="29"/>
      <c r="AG413" s="29"/>
      <c r="AH413" s="29"/>
      <c r="AI413" s="29"/>
      <c r="AJ413" s="29"/>
    </row>
    <row r="414" spans="1:36" x14ac:dyDescent="0.2">
      <c r="A414" s="29"/>
      <c r="B414" s="29"/>
      <c r="C414" s="29"/>
      <c r="D414" s="29"/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29"/>
      <c r="AB414" s="29"/>
      <c r="AC414" s="29"/>
      <c r="AD414" s="29"/>
      <c r="AE414" s="29"/>
      <c r="AF414" s="29"/>
      <c r="AG414" s="29"/>
      <c r="AH414" s="29"/>
      <c r="AI414" s="29"/>
      <c r="AJ414" s="29"/>
    </row>
    <row r="415" spans="1:36" x14ac:dyDescent="0.2">
      <c r="A415" s="29"/>
      <c r="B415" s="29"/>
      <c r="C415" s="29"/>
      <c r="D415" s="29"/>
      <c r="E415" s="29"/>
      <c r="F415" s="29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29"/>
      <c r="AB415" s="29"/>
      <c r="AC415" s="29"/>
      <c r="AD415" s="29"/>
      <c r="AE415" s="29"/>
      <c r="AF415" s="29"/>
      <c r="AG415" s="29"/>
      <c r="AH415" s="29"/>
      <c r="AI415" s="29"/>
      <c r="AJ415" s="29"/>
    </row>
    <row r="416" spans="1:36" x14ac:dyDescent="0.2">
      <c r="A416" s="29"/>
      <c r="B416" s="29"/>
      <c r="C416" s="29"/>
      <c r="D416" s="29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29"/>
      <c r="AB416" s="29"/>
      <c r="AC416" s="29"/>
      <c r="AD416" s="29"/>
      <c r="AE416" s="29"/>
      <c r="AF416" s="29"/>
      <c r="AG416" s="29"/>
      <c r="AH416" s="29"/>
      <c r="AI416" s="29"/>
      <c r="AJ416" s="29"/>
    </row>
    <row r="417" spans="1:36" x14ac:dyDescent="0.2">
      <c r="A417" s="29"/>
      <c r="B417" s="29"/>
      <c r="C417" s="29"/>
      <c r="D417" s="29"/>
      <c r="E417" s="29"/>
      <c r="F417" s="29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29"/>
      <c r="AB417" s="29"/>
      <c r="AC417" s="29"/>
      <c r="AD417" s="29"/>
      <c r="AE417" s="29"/>
      <c r="AF417" s="29"/>
      <c r="AG417" s="29"/>
      <c r="AH417" s="29"/>
      <c r="AI417" s="29"/>
      <c r="AJ417" s="29"/>
    </row>
    <row r="418" spans="1:36" x14ac:dyDescent="0.2">
      <c r="A418" s="29"/>
      <c r="B418" s="29"/>
      <c r="C418" s="29"/>
      <c r="D418" s="29"/>
      <c r="E418" s="29"/>
      <c r="F418" s="29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29"/>
      <c r="AB418" s="29"/>
      <c r="AC418" s="29"/>
      <c r="AD418" s="29"/>
      <c r="AE418" s="29"/>
      <c r="AF418" s="29"/>
      <c r="AG418" s="29"/>
      <c r="AH418" s="29"/>
      <c r="AI418" s="29"/>
      <c r="AJ418" s="29"/>
    </row>
    <row r="419" spans="1:36" x14ac:dyDescent="0.2">
      <c r="A419" s="29"/>
      <c r="B419" s="29"/>
      <c r="C419" s="29"/>
      <c r="D419" s="29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29"/>
      <c r="AB419" s="29"/>
      <c r="AC419" s="29"/>
      <c r="AD419" s="29"/>
      <c r="AE419" s="29"/>
      <c r="AF419" s="29"/>
      <c r="AG419" s="29"/>
      <c r="AH419" s="29"/>
      <c r="AI419" s="29"/>
      <c r="AJ419" s="29"/>
    </row>
    <row r="420" spans="1:36" x14ac:dyDescent="0.2">
      <c r="A420" s="29"/>
      <c r="B420" s="29"/>
      <c r="C420" s="29"/>
      <c r="D420" s="29"/>
      <c r="E420" s="29"/>
      <c r="F420" s="29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29"/>
      <c r="AB420" s="29"/>
      <c r="AC420" s="29"/>
      <c r="AD420" s="29"/>
      <c r="AE420" s="29"/>
      <c r="AF420" s="29"/>
      <c r="AG420" s="29"/>
      <c r="AH420" s="29"/>
      <c r="AI420" s="29"/>
      <c r="AJ420" s="29"/>
    </row>
    <row r="421" spans="1:36" x14ac:dyDescent="0.2">
      <c r="A421" s="29"/>
      <c r="B421" s="29"/>
      <c r="C421" s="29"/>
      <c r="D421" s="29"/>
      <c r="E421" s="29"/>
      <c r="F421" s="29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29"/>
      <c r="AB421" s="29"/>
      <c r="AC421" s="29"/>
      <c r="AD421" s="29"/>
      <c r="AE421" s="29"/>
      <c r="AF421" s="29"/>
      <c r="AG421" s="29"/>
      <c r="AH421" s="29"/>
      <c r="AI421" s="29"/>
      <c r="AJ421" s="29"/>
    </row>
    <row r="422" spans="1:36" x14ac:dyDescent="0.2">
      <c r="A422" s="29"/>
      <c r="B422" s="29"/>
      <c r="C422" s="29"/>
      <c r="D422" s="29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29"/>
      <c r="AB422" s="29"/>
      <c r="AC422" s="29"/>
      <c r="AD422" s="29"/>
      <c r="AE422" s="29"/>
      <c r="AF422" s="29"/>
      <c r="AG422" s="29"/>
      <c r="AH422" s="29"/>
      <c r="AI422" s="29"/>
      <c r="AJ422" s="29"/>
    </row>
    <row r="423" spans="1:36" x14ac:dyDescent="0.2">
      <c r="A423" s="29"/>
      <c r="B423" s="29"/>
      <c r="C423" s="29"/>
      <c r="D423" s="29"/>
      <c r="E423" s="29"/>
      <c r="F423" s="29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29"/>
      <c r="AB423" s="29"/>
      <c r="AC423" s="29"/>
      <c r="AD423" s="29"/>
      <c r="AE423" s="29"/>
      <c r="AF423" s="29"/>
      <c r="AG423" s="29"/>
      <c r="AH423" s="29"/>
      <c r="AI423" s="29"/>
      <c r="AJ423" s="29"/>
    </row>
    <row r="424" spans="1:36" x14ac:dyDescent="0.2">
      <c r="A424" s="29"/>
      <c r="B424" s="29"/>
      <c r="C424" s="29"/>
      <c r="D424" s="29"/>
      <c r="E424" s="29"/>
      <c r="F424" s="29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29"/>
      <c r="AH424" s="29"/>
      <c r="AI424" s="29"/>
      <c r="AJ424" s="29"/>
    </row>
    <row r="425" spans="1:36" x14ac:dyDescent="0.2">
      <c r="A425" s="29"/>
      <c r="B425" s="29"/>
      <c r="C425" s="29"/>
      <c r="D425" s="29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29"/>
      <c r="AB425" s="29"/>
      <c r="AC425" s="29"/>
      <c r="AD425" s="29"/>
      <c r="AE425" s="29"/>
      <c r="AF425" s="29"/>
      <c r="AG425" s="29"/>
      <c r="AH425" s="29"/>
      <c r="AI425" s="29"/>
      <c r="AJ425" s="29"/>
    </row>
    <row r="426" spans="1:36" x14ac:dyDescent="0.2">
      <c r="A426" s="29"/>
      <c r="B426" s="29"/>
      <c r="C426" s="29"/>
      <c r="D426" s="29"/>
      <c r="E426" s="29"/>
      <c r="F426" s="29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29"/>
      <c r="AB426" s="29"/>
      <c r="AC426" s="29"/>
      <c r="AD426" s="29"/>
      <c r="AE426" s="29"/>
      <c r="AF426" s="29"/>
      <c r="AG426" s="29"/>
      <c r="AH426" s="29"/>
      <c r="AI426" s="29"/>
      <c r="AJ426" s="29"/>
    </row>
    <row r="427" spans="1:36" x14ac:dyDescent="0.2">
      <c r="A427" s="29"/>
      <c r="B427" s="29"/>
      <c r="C427" s="29"/>
      <c r="D427" s="29"/>
      <c r="E427" s="29"/>
      <c r="F427" s="29"/>
      <c r="G427" s="29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29"/>
      <c r="AB427" s="29"/>
      <c r="AC427" s="29"/>
      <c r="AD427" s="29"/>
      <c r="AE427" s="29"/>
      <c r="AF427" s="29"/>
      <c r="AG427" s="29"/>
      <c r="AH427" s="29"/>
      <c r="AI427" s="29"/>
      <c r="AJ427" s="29"/>
    </row>
    <row r="428" spans="1:36" x14ac:dyDescent="0.2">
      <c r="A428" s="29"/>
      <c r="B428" s="29"/>
      <c r="C428" s="29"/>
      <c r="D428" s="29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29"/>
      <c r="AB428" s="29"/>
      <c r="AC428" s="29"/>
      <c r="AD428" s="29"/>
      <c r="AE428" s="29"/>
      <c r="AF428" s="29"/>
      <c r="AG428" s="29"/>
      <c r="AH428" s="29"/>
      <c r="AI428" s="29"/>
      <c r="AJ428" s="29"/>
    </row>
    <row r="429" spans="1:36" x14ac:dyDescent="0.2">
      <c r="A429" s="29"/>
      <c r="B429" s="29"/>
      <c r="C429" s="29"/>
      <c r="D429" s="29"/>
      <c r="E429" s="29"/>
      <c r="F429" s="29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29"/>
      <c r="AB429" s="29"/>
      <c r="AC429" s="29"/>
      <c r="AD429" s="29"/>
      <c r="AE429" s="29"/>
      <c r="AF429" s="29"/>
      <c r="AG429" s="29"/>
      <c r="AH429" s="29"/>
      <c r="AI429" s="29"/>
      <c r="AJ429" s="29"/>
    </row>
    <row r="430" spans="1:36" x14ac:dyDescent="0.2">
      <c r="A430" s="29"/>
      <c r="B430" s="29"/>
      <c r="C430" s="29"/>
      <c r="D430" s="29"/>
      <c r="E430" s="29"/>
      <c r="F430" s="29"/>
      <c r="G430" s="29"/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29"/>
      <c r="AB430" s="29"/>
      <c r="AC430" s="29"/>
      <c r="AD430" s="29"/>
      <c r="AE430" s="29"/>
      <c r="AF430" s="29"/>
      <c r="AG430" s="29"/>
      <c r="AH430" s="29"/>
      <c r="AI430" s="29"/>
      <c r="AJ430" s="29"/>
    </row>
    <row r="431" spans="1:36" x14ac:dyDescent="0.2">
      <c r="A431" s="29"/>
      <c r="B431" s="29"/>
      <c r="C431" s="29"/>
      <c r="D431" s="29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29"/>
      <c r="AB431" s="29"/>
      <c r="AC431" s="29"/>
      <c r="AD431" s="29"/>
      <c r="AE431" s="29"/>
      <c r="AF431" s="29"/>
      <c r="AG431" s="29"/>
      <c r="AH431" s="29"/>
      <c r="AI431" s="29"/>
      <c r="AJ431" s="29"/>
    </row>
    <row r="432" spans="1:36" x14ac:dyDescent="0.2">
      <c r="A432" s="29"/>
      <c r="B432" s="29"/>
      <c r="C432" s="29"/>
      <c r="D432" s="29"/>
      <c r="E432" s="29"/>
      <c r="F432" s="29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29"/>
      <c r="AB432" s="29"/>
      <c r="AC432" s="29"/>
      <c r="AD432" s="29"/>
      <c r="AE432" s="29"/>
      <c r="AF432" s="29"/>
      <c r="AG432" s="29"/>
      <c r="AH432" s="29"/>
      <c r="AI432" s="29"/>
      <c r="AJ432" s="29"/>
    </row>
    <row r="433" spans="1:36" x14ac:dyDescent="0.2">
      <c r="A433" s="29"/>
      <c r="B433" s="29"/>
      <c r="C433" s="29"/>
      <c r="D433" s="29"/>
      <c r="E433" s="29"/>
      <c r="F433" s="29"/>
      <c r="G433" s="29"/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29"/>
      <c r="AB433" s="29"/>
      <c r="AC433" s="29"/>
      <c r="AD433" s="29"/>
      <c r="AE433" s="29"/>
      <c r="AF433" s="29"/>
      <c r="AG433" s="29"/>
      <c r="AH433" s="29"/>
      <c r="AI433" s="29"/>
      <c r="AJ433" s="29"/>
    </row>
    <row r="434" spans="1:36" x14ac:dyDescent="0.2">
      <c r="A434" s="29"/>
      <c r="B434" s="29"/>
      <c r="C434" s="29"/>
      <c r="D434" s="29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29"/>
      <c r="AB434" s="29"/>
      <c r="AC434" s="29"/>
      <c r="AD434" s="29"/>
      <c r="AE434" s="29"/>
      <c r="AF434" s="29"/>
      <c r="AG434" s="29"/>
      <c r="AH434" s="29"/>
      <c r="AI434" s="29"/>
      <c r="AJ434" s="29"/>
    </row>
    <row r="435" spans="1:36" x14ac:dyDescent="0.2">
      <c r="A435" s="29"/>
      <c r="B435" s="29"/>
      <c r="C435" s="29"/>
      <c r="D435" s="29"/>
      <c r="E435" s="29"/>
      <c r="F435" s="29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29"/>
      <c r="AB435" s="29"/>
      <c r="AC435" s="29"/>
      <c r="AD435" s="29"/>
      <c r="AE435" s="29"/>
      <c r="AF435" s="29"/>
      <c r="AG435" s="29"/>
      <c r="AH435" s="29"/>
      <c r="AI435" s="29"/>
      <c r="AJ435" s="29"/>
    </row>
    <row r="436" spans="1:36" x14ac:dyDescent="0.2">
      <c r="A436" s="29"/>
      <c r="B436" s="29"/>
      <c r="C436" s="29"/>
      <c r="D436" s="29"/>
      <c r="E436" s="29"/>
      <c r="F436" s="29"/>
      <c r="G436" s="29"/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29"/>
      <c r="AB436" s="29"/>
      <c r="AC436" s="29"/>
      <c r="AD436" s="29"/>
      <c r="AE436" s="29"/>
      <c r="AF436" s="29"/>
      <c r="AG436" s="29"/>
      <c r="AH436" s="29"/>
      <c r="AI436" s="29"/>
      <c r="AJ436" s="29"/>
    </row>
    <row r="437" spans="1:36" x14ac:dyDescent="0.2">
      <c r="A437" s="29"/>
      <c r="B437" s="29"/>
      <c r="C437" s="29"/>
      <c r="D437" s="29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29"/>
      <c r="AB437" s="29"/>
      <c r="AC437" s="29"/>
      <c r="AD437" s="29"/>
      <c r="AE437" s="29"/>
      <c r="AF437" s="29"/>
      <c r="AG437" s="29"/>
      <c r="AH437" s="29"/>
      <c r="AI437" s="29"/>
      <c r="AJ437" s="29"/>
    </row>
    <row r="438" spans="1:36" x14ac:dyDescent="0.2">
      <c r="A438" s="29"/>
      <c r="B438" s="29"/>
      <c r="C438" s="29"/>
      <c r="D438" s="29"/>
      <c r="E438" s="29"/>
      <c r="F438" s="29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29"/>
      <c r="AB438" s="29"/>
      <c r="AC438" s="29"/>
      <c r="AD438" s="29"/>
      <c r="AE438" s="29"/>
      <c r="AF438" s="29"/>
      <c r="AG438" s="29"/>
      <c r="AH438" s="29"/>
      <c r="AI438" s="29"/>
      <c r="AJ438" s="29"/>
    </row>
    <row r="439" spans="1:36" x14ac:dyDescent="0.2">
      <c r="A439" s="29"/>
      <c r="B439" s="29"/>
      <c r="C439" s="29"/>
      <c r="D439" s="29"/>
      <c r="E439" s="29"/>
      <c r="F439" s="29"/>
      <c r="G439" s="29"/>
      <c r="H439" s="29"/>
      <c r="I439" s="29"/>
      <c r="J439" s="29"/>
      <c r="K439" s="29"/>
      <c r="L439" s="29"/>
      <c r="M439" s="29"/>
      <c r="N439" s="29"/>
      <c r="O439" s="29"/>
      <c r="P439" s="29"/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29"/>
      <c r="AB439" s="29"/>
      <c r="AC439" s="29"/>
      <c r="AD439" s="29"/>
      <c r="AE439" s="29"/>
      <c r="AF439" s="29"/>
      <c r="AG439" s="29"/>
      <c r="AH439" s="29"/>
      <c r="AI439" s="29"/>
      <c r="AJ439" s="29"/>
    </row>
    <row r="440" spans="1:36" x14ac:dyDescent="0.2">
      <c r="A440" s="29"/>
      <c r="B440" s="29"/>
      <c r="C440" s="29"/>
      <c r="D440" s="29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29"/>
      <c r="AB440" s="29"/>
      <c r="AC440" s="29"/>
      <c r="AD440" s="29"/>
      <c r="AE440" s="29"/>
      <c r="AF440" s="29"/>
      <c r="AG440" s="29"/>
      <c r="AH440" s="29"/>
      <c r="AI440" s="29"/>
      <c r="AJ440" s="29"/>
    </row>
    <row r="441" spans="1:36" x14ac:dyDescent="0.2">
      <c r="A441" s="29"/>
      <c r="B441" s="29"/>
      <c r="C441" s="29"/>
      <c r="D441" s="29"/>
      <c r="E441" s="29"/>
      <c r="F441" s="29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29"/>
      <c r="AB441" s="29"/>
      <c r="AC441" s="29"/>
      <c r="AD441" s="29"/>
      <c r="AE441" s="29"/>
      <c r="AF441" s="29"/>
      <c r="AG441" s="29"/>
      <c r="AH441" s="29"/>
      <c r="AI441" s="29"/>
      <c r="AJ441" s="29"/>
    </row>
    <row r="442" spans="1:36" x14ac:dyDescent="0.2">
      <c r="A442" s="29"/>
      <c r="B442" s="29"/>
      <c r="C442" s="29"/>
      <c r="D442" s="29"/>
      <c r="E442" s="29"/>
      <c r="F442" s="29"/>
      <c r="G442" s="29"/>
      <c r="H442" s="29"/>
      <c r="I442" s="29"/>
      <c r="J442" s="29"/>
      <c r="K442" s="29"/>
      <c r="L442" s="29"/>
      <c r="M442" s="29"/>
      <c r="N442" s="29"/>
      <c r="O442" s="29"/>
      <c r="P442" s="29"/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29"/>
      <c r="AB442" s="29"/>
      <c r="AC442" s="29"/>
      <c r="AD442" s="29"/>
      <c r="AE442" s="29"/>
      <c r="AF442" s="29"/>
      <c r="AG442" s="29"/>
      <c r="AH442" s="29"/>
      <c r="AI442" s="29"/>
      <c r="AJ442" s="29"/>
    </row>
    <row r="443" spans="1:36" x14ac:dyDescent="0.2">
      <c r="A443" s="29"/>
      <c r="B443" s="29"/>
      <c r="C443" s="29"/>
      <c r="D443" s="29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29"/>
      <c r="AB443" s="29"/>
      <c r="AC443" s="29"/>
      <c r="AD443" s="29"/>
      <c r="AE443" s="29"/>
      <c r="AF443" s="29"/>
      <c r="AG443" s="29"/>
      <c r="AH443" s="29"/>
      <c r="AI443" s="29"/>
      <c r="AJ443" s="29"/>
    </row>
    <row r="444" spans="1:36" x14ac:dyDescent="0.2">
      <c r="A444" s="29"/>
      <c r="B444" s="29"/>
      <c r="C444" s="29"/>
      <c r="D444" s="29"/>
      <c r="E444" s="29"/>
      <c r="F444" s="29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29"/>
      <c r="AB444" s="29"/>
      <c r="AC444" s="29"/>
      <c r="AD444" s="29"/>
      <c r="AE444" s="29"/>
      <c r="AF444" s="29"/>
      <c r="AG444" s="29"/>
      <c r="AH444" s="29"/>
      <c r="AI444" s="29"/>
      <c r="AJ444" s="29"/>
    </row>
    <row r="445" spans="1:36" x14ac:dyDescent="0.2">
      <c r="A445" s="29"/>
      <c r="B445" s="29"/>
      <c r="C445" s="29"/>
      <c r="D445" s="29"/>
      <c r="E445" s="29"/>
      <c r="F445" s="29"/>
      <c r="G445" s="29"/>
      <c r="H445" s="29"/>
      <c r="I445" s="29"/>
      <c r="J445" s="29"/>
      <c r="K445" s="29"/>
      <c r="L445" s="29"/>
      <c r="M445" s="29"/>
      <c r="N445" s="29"/>
      <c r="O445" s="29"/>
      <c r="P445" s="29"/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29"/>
      <c r="AB445" s="29"/>
      <c r="AC445" s="29"/>
      <c r="AD445" s="29"/>
      <c r="AE445" s="29"/>
      <c r="AF445" s="29"/>
      <c r="AG445" s="29"/>
      <c r="AH445" s="29"/>
      <c r="AI445" s="29"/>
      <c r="AJ445" s="29"/>
    </row>
    <row r="446" spans="1:36" x14ac:dyDescent="0.2">
      <c r="A446" s="29"/>
      <c r="B446" s="29"/>
      <c r="C446" s="29"/>
      <c r="D446" s="29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29"/>
      <c r="AB446" s="29"/>
      <c r="AC446" s="29"/>
      <c r="AD446" s="29"/>
      <c r="AE446" s="29"/>
      <c r="AF446" s="29"/>
      <c r="AG446" s="29"/>
      <c r="AH446" s="29"/>
      <c r="AI446" s="29"/>
      <c r="AJ446" s="29"/>
    </row>
    <row r="447" spans="1:36" x14ac:dyDescent="0.2">
      <c r="A447" s="29"/>
      <c r="B447" s="29"/>
      <c r="C447" s="29"/>
      <c r="D447" s="29"/>
      <c r="E447" s="29"/>
      <c r="F447" s="29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29"/>
      <c r="AB447" s="29"/>
      <c r="AC447" s="29"/>
      <c r="AD447" s="29"/>
      <c r="AE447" s="29"/>
      <c r="AF447" s="29"/>
      <c r="AG447" s="29"/>
      <c r="AH447" s="29"/>
      <c r="AI447" s="29"/>
      <c r="AJ447" s="29"/>
    </row>
    <row r="448" spans="1:36" x14ac:dyDescent="0.2">
      <c r="A448" s="29"/>
      <c r="B448" s="29"/>
      <c r="C448" s="29"/>
      <c r="D448" s="29"/>
      <c r="E448" s="29"/>
      <c r="F448" s="29"/>
      <c r="G448" s="29"/>
      <c r="H448" s="29"/>
      <c r="I448" s="29"/>
      <c r="J448" s="29"/>
      <c r="K448" s="29"/>
      <c r="L448" s="29"/>
      <c r="M448" s="29"/>
      <c r="N448" s="29"/>
      <c r="O448" s="29"/>
      <c r="P448" s="29"/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29"/>
      <c r="AB448" s="29"/>
      <c r="AC448" s="29"/>
      <c r="AD448" s="29"/>
      <c r="AE448" s="29"/>
      <c r="AF448" s="29"/>
      <c r="AG448" s="29"/>
      <c r="AH448" s="29"/>
      <c r="AI448" s="29"/>
      <c r="AJ448" s="29"/>
    </row>
    <row r="449" spans="1:36" x14ac:dyDescent="0.2">
      <c r="A449" s="29"/>
      <c r="B449" s="29"/>
      <c r="C449" s="29"/>
      <c r="D449" s="29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29"/>
      <c r="AB449" s="29"/>
      <c r="AC449" s="29"/>
      <c r="AD449" s="29"/>
      <c r="AE449" s="29"/>
      <c r="AF449" s="29"/>
      <c r="AG449" s="29"/>
      <c r="AH449" s="29"/>
      <c r="AI449" s="29"/>
      <c r="AJ449" s="29"/>
    </row>
    <row r="450" spans="1:36" x14ac:dyDescent="0.2">
      <c r="A450" s="29"/>
      <c r="B450" s="29"/>
      <c r="C450" s="29"/>
      <c r="D450" s="29"/>
      <c r="E450" s="29"/>
      <c r="F450" s="29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29"/>
      <c r="AB450" s="29"/>
      <c r="AC450" s="29"/>
      <c r="AD450" s="29"/>
      <c r="AE450" s="29"/>
      <c r="AF450" s="29"/>
      <c r="AG450" s="29"/>
      <c r="AH450" s="29"/>
      <c r="AI450" s="29"/>
      <c r="AJ450" s="29"/>
    </row>
    <row r="451" spans="1:36" x14ac:dyDescent="0.2">
      <c r="A451" s="29"/>
      <c r="B451" s="29"/>
      <c r="C451" s="29"/>
      <c r="D451" s="29"/>
      <c r="E451" s="29"/>
      <c r="F451" s="29"/>
      <c r="G451" s="29"/>
      <c r="H451" s="29"/>
      <c r="I451" s="29"/>
      <c r="J451" s="29"/>
      <c r="K451" s="29"/>
      <c r="L451" s="29"/>
      <c r="M451" s="29"/>
      <c r="N451" s="29"/>
      <c r="O451" s="29"/>
      <c r="P451" s="29"/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29"/>
      <c r="AB451" s="29"/>
      <c r="AC451" s="29"/>
      <c r="AD451" s="29"/>
      <c r="AE451" s="29"/>
      <c r="AF451" s="29"/>
      <c r="AG451" s="29"/>
      <c r="AH451" s="29"/>
      <c r="AI451" s="29"/>
      <c r="AJ451" s="29"/>
    </row>
    <row r="452" spans="1:36" x14ac:dyDescent="0.2">
      <c r="A452" s="29"/>
      <c r="B452" s="29"/>
      <c r="C452" s="29"/>
      <c r="D452" s="29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29"/>
      <c r="AB452" s="29"/>
      <c r="AC452" s="29"/>
      <c r="AD452" s="29"/>
      <c r="AE452" s="29"/>
      <c r="AF452" s="29"/>
      <c r="AG452" s="29"/>
      <c r="AH452" s="29"/>
      <c r="AI452" s="29"/>
      <c r="AJ452" s="29"/>
    </row>
    <row r="453" spans="1:36" x14ac:dyDescent="0.2">
      <c r="A453" s="29"/>
      <c r="B453" s="29"/>
      <c r="C453" s="29"/>
      <c r="D453" s="29"/>
      <c r="E453" s="29"/>
      <c r="F453" s="29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29"/>
      <c r="AB453" s="29"/>
      <c r="AC453" s="29"/>
      <c r="AD453" s="29"/>
      <c r="AE453" s="29"/>
      <c r="AF453" s="29"/>
      <c r="AG453" s="29"/>
      <c r="AH453" s="29"/>
      <c r="AI453" s="29"/>
      <c r="AJ453" s="29"/>
    </row>
    <row r="454" spans="1:36" x14ac:dyDescent="0.2">
      <c r="A454" s="29"/>
      <c r="B454" s="29"/>
      <c r="C454" s="29"/>
      <c r="D454" s="29"/>
      <c r="E454" s="29"/>
      <c r="F454" s="29"/>
      <c r="G454" s="29"/>
      <c r="H454" s="29"/>
      <c r="I454" s="29"/>
      <c r="J454" s="29"/>
      <c r="K454" s="29"/>
      <c r="L454" s="29"/>
      <c r="M454" s="29"/>
      <c r="N454" s="29"/>
      <c r="O454" s="29"/>
      <c r="P454" s="29"/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29"/>
      <c r="AB454" s="29"/>
      <c r="AC454" s="29"/>
      <c r="AD454" s="29"/>
      <c r="AE454" s="29"/>
      <c r="AF454" s="29"/>
      <c r="AG454" s="29"/>
      <c r="AH454" s="29"/>
      <c r="AI454" s="29"/>
      <c r="AJ454" s="29"/>
    </row>
    <row r="455" spans="1:36" x14ac:dyDescent="0.2">
      <c r="A455" s="29"/>
      <c r="B455" s="29"/>
      <c r="C455" s="29"/>
      <c r="D455" s="29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29"/>
      <c r="AB455" s="29"/>
      <c r="AC455" s="29"/>
      <c r="AD455" s="29"/>
      <c r="AE455" s="29"/>
      <c r="AF455" s="29"/>
      <c r="AG455" s="29"/>
      <c r="AH455" s="29"/>
      <c r="AI455" s="29"/>
      <c r="AJ455" s="29"/>
    </row>
    <row r="456" spans="1:36" x14ac:dyDescent="0.2">
      <c r="A456" s="29"/>
      <c r="B456" s="29"/>
      <c r="C456" s="29"/>
      <c r="D456" s="29"/>
      <c r="E456" s="29"/>
      <c r="F456" s="29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29"/>
      <c r="AB456" s="29"/>
      <c r="AC456" s="29"/>
      <c r="AD456" s="29"/>
      <c r="AE456" s="29"/>
      <c r="AF456" s="29"/>
      <c r="AG456" s="29"/>
      <c r="AH456" s="29"/>
      <c r="AI456" s="29"/>
      <c r="AJ456" s="29"/>
    </row>
    <row r="457" spans="1:36" x14ac:dyDescent="0.2">
      <c r="A457" s="29"/>
      <c r="B457" s="29"/>
      <c r="C457" s="29"/>
      <c r="D457" s="29"/>
      <c r="E457" s="29"/>
      <c r="F457" s="29"/>
      <c r="G457" s="29"/>
      <c r="H457" s="29"/>
      <c r="I457" s="29"/>
      <c r="J457" s="29"/>
      <c r="K457" s="29"/>
      <c r="L457" s="29"/>
      <c r="M457" s="29"/>
      <c r="N457" s="29"/>
      <c r="O457" s="29"/>
      <c r="P457" s="29"/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29"/>
      <c r="AB457" s="29"/>
      <c r="AC457" s="29"/>
      <c r="AD457" s="29"/>
      <c r="AE457" s="29"/>
      <c r="AF457" s="29"/>
      <c r="AG457" s="29"/>
      <c r="AH457" s="29"/>
      <c r="AI457" s="29"/>
      <c r="AJ457" s="29"/>
    </row>
    <row r="458" spans="1:36" x14ac:dyDescent="0.2">
      <c r="A458" s="29"/>
      <c r="B458" s="29"/>
      <c r="C458" s="29"/>
      <c r="D458" s="29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29"/>
      <c r="AB458" s="29"/>
      <c r="AC458" s="29"/>
      <c r="AD458" s="29"/>
      <c r="AE458" s="29"/>
      <c r="AF458" s="29"/>
      <c r="AG458" s="29"/>
      <c r="AH458" s="29"/>
      <c r="AI458" s="29"/>
      <c r="AJ458" s="29"/>
    </row>
    <row r="459" spans="1:36" x14ac:dyDescent="0.2">
      <c r="A459" s="29"/>
      <c r="B459" s="29"/>
      <c r="C459" s="29"/>
      <c r="D459" s="29"/>
      <c r="E459" s="29"/>
      <c r="F459" s="29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29"/>
      <c r="AB459" s="29"/>
      <c r="AC459" s="29"/>
      <c r="AD459" s="29"/>
      <c r="AE459" s="29"/>
      <c r="AF459" s="29"/>
      <c r="AG459" s="29"/>
      <c r="AH459" s="29"/>
      <c r="AI459" s="29"/>
      <c r="AJ459" s="29"/>
    </row>
    <row r="460" spans="1:36" x14ac:dyDescent="0.2">
      <c r="A460" s="29"/>
      <c r="B460" s="29"/>
      <c r="C460" s="29"/>
      <c r="D460" s="29"/>
      <c r="E460" s="29"/>
      <c r="F460" s="29"/>
      <c r="G460" s="29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29"/>
      <c r="AB460" s="29"/>
      <c r="AC460" s="29"/>
      <c r="AD460" s="29"/>
      <c r="AE460" s="29"/>
      <c r="AF460" s="29"/>
      <c r="AG460" s="29"/>
      <c r="AH460" s="29"/>
      <c r="AI460" s="29"/>
      <c r="AJ460" s="29"/>
    </row>
    <row r="461" spans="1:36" x14ac:dyDescent="0.2">
      <c r="A461" s="29"/>
      <c r="B461" s="29"/>
      <c r="C461" s="29"/>
      <c r="D461" s="29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29"/>
      <c r="AB461" s="29"/>
      <c r="AC461" s="29"/>
      <c r="AD461" s="29"/>
      <c r="AE461" s="29"/>
      <c r="AF461" s="29"/>
      <c r="AG461" s="29"/>
      <c r="AH461" s="29"/>
      <c r="AI461" s="29"/>
      <c r="AJ461" s="29"/>
    </row>
    <row r="462" spans="1:36" x14ac:dyDescent="0.2">
      <c r="A462" s="29"/>
      <c r="B462" s="29"/>
      <c r="C462" s="29"/>
      <c r="D462" s="29"/>
      <c r="E462" s="29"/>
      <c r="F462" s="29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29"/>
      <c r="AB462" s="29"/>
      <c r="AC462" s="29"/>
      <c r="AD462" s="29"/>
      <c r="AE462" s="29"/>
      <c r="AF462" s="29"/>
      <c r="AG462" s="29"/>
      <c r="AH462" s="29"/>
      <c r="AI462" s="29"/>
      <c r="AJ462" s="29"/>
    </row>
    <row r="463" spans="1:36" x14ac:dyDescent="0.2">
      <c r="A463" s="29"/>
      <c r="B463" s="29"/>
      <c r="C463" s="29"/>
      <c r="D463" s="29"/>
      <c r="E463" s="29"/>
      <c r="F463" s="29"/>
      <c r="G463" s="29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29"/>
      <c r="AB463" s="29"/>
      <c r="AC463" s="29"/>
      <c r="AD463" s="29"/>
      <c r="AE463" s="29"/>
      <c r="AF463" s="29"/>
      <c r="AG463" s="29"/>
      <c r="AH463" s="29"/>
      <c r="AI463" s="29"/>
      <c r="AJ463" s="29"/>
    </row>
    <row r="464" spans="1:36" x14ac:dyDescent="0.2">
      <c r="A464" s="29"/>
      <c r="B464" s="29"/>
      <c r="C464" s="29"/>
      <c r="D464" s="29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29"/>
      <c r="AB464" s="29"/>
      <c r="AC464" s="29"/>
      <c r="AD464" s="29"/>
      <c r="AE464" s="29"/>
      <c r="AF464" s="29"/>
      <c r="AG464" s="29"/>
      <c r="AH464" s="29"/>
      <c r="AI464" s="29"/>
      <c r="AJ464" s="29"/>
    </row>
    <row r="465" spans="1:36" x14ac:dyDescent="0.2">
      <c r="A465" s="29"/>
      <c r="B465" s="29"/>
      <c r="C465" s="29"/>
      <c r="D465" s="29"/>
      <c r="E465" s="29"/>
      <c r="F465" s="29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29"/>
      <c r="AB465" s="29"/>
      <c r="AC465" s="29"/>
      <c r="AD465" s="29"/>
      <c r="AE465" s="29"/>
      <c r="AF465" s="29"/>
      <c r="AG465" s="29"/>
      <c r="AH465" s="29"/>
      <c r="AI465" s="29"/>
      <c r="AJ465" s="29"/>
    </row>
    <row r="466" spans="1:36" x14ac:dyDescent="0.2">
      <c r="A466" s="29"/>
      <c r="B466" s="29"/>
      <c r="C466" s="29"/>
      <c r="D466" s="29"/>
      <c r="E466" s="29"/>
      <c r="F466" s="29"/>
      <c r="G466" s="29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29"/>
      <c r="AB466" s="29"/>
      <c r="AC466" s="29"/>
      <c r="AD466" s="29"/>
      <c r="AE466" s="29"/>
      <c r="AF466" s="29"/>
      <c r="AG466" s="29"/>
      <c r="AH466" s="29"/>
      <c r="AI466" s="29"/>
      <c r="AJ466" s="29"/>
    </row>
    <row r="467" spans="1:36" x14ac:dyDescent="0.2">
      <c r="A467" s="29"/>
      <c r="B467" s="29"/>
      <c r="C467" s="29"/>
      <c r="D467" s="29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29"/>
      <c r="AB467" s="29"/>
      <c r="AC467" s="29"/>
      <c r="AD467" s="29"/>
      <c r="AE467" s="29"/>
      <c r="AF467" s="29"/>
      <c r="AG467" s="29"/>
      <c r="AH467" s="29"/>
      <c r="AI467" s="29"/>
      <c r="AJ467" s="29"/>
    </row>
    <row r="468" spans="1:36" x14ac:dyDescent="0.2">
      <c r="A468" s="29"/>
      <c r="B468" s="29"/>
      <c r="C468" s="29"/>
      <c r="D468" s="29"/>
      <c r="E468" s="29"/>
      <c r="F468" s="29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29"/>
      <c r="AB468" s="29"/>
      <c r="AC468" s="29"/>
      <c r="AD468" s="29"/>
      <c r="AE468" s="29"/>
      <c r="AF468" s="29"/>
      <c r="AG468" s="29"/>
      <c r="AH468" s="29"/>
      <c r="AI468" s="29"/>
      <c r="AJ468" s="29"/>
    </row>
    <row r="469" spans="1:36" x14ac:dyDescent="0.2">
      <c r="A469" s="29"/>
      <c r="B469" s="29"/>
      <c r="C469" s="29"/>
      <c r="D469" s="29"/>
      <c r="E469" s="29"/>
      <c r="F469" s="29"/>
      <c r="G469" s="29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29"/>
      <c r="AB469" s="29"/>
      <c r="AC469" s="29"/>
      <c r="AD469" s="29"/>
      <c r="AE469" s="29"/>
      <c r="AF469" s="29"/>
      <c r="AG469" s="29"/>
      <c r="AH469" s="29"/>
      <c r="AI469" s="29"/>
      <c r="AJ469" s="29"/>
    </row>
    <row r="470" spans="1:36" x14ac:dyDescent="0.2">
      <c r="A470" s="29"/>
      <c r="B470" s="29"/>
      <c r="C470" s="29"/>
      <c r="D470" s="29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29"/>
      <c r="AB470" s="29"/>
      <c r="AC470" s="29"/>
      <c r="AD470" s="29"/>
      <c r="AE470" s="29"/>
      <c r="AF470" s="29"/>
      <c r="AG470" s="29"/>
      <c r="AH470" s="29"/>
      <c r="AI470" s="29"/>
      <c r="AJ470" s="29"/>
    </row>
    <row r="471" spans="1:36" x14ac:dyDescent="0.2">
      <c r="A471" s="29"/>
      <c r="B471" s="29"/>
      <c r="C471" s="29"/>
      <c r="D471" s="29"/>
      <c r="E471" s="29"/>
      <c r="F471" s="29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29"/>
      <c r="AB471" s="29"/>
      <c r="AC471" s="29"/>
      <c r="AD471" s="29"/>
      <c r="AE471" s="29"/>
      <c r="AF471" s="29"/>
      <c r="AG471" s="29"/>
      <c r="AH471" s="29"/>
      <c r="AI471" s="29"/>
      <c r="AJ471" s="29"/>
    </row>
    <row r="472" spans="1:36" x14ac:dyDescent="0.2">
      <c r="A472" s="29"/>
      <c r="B472" s="29"/>
      <c r="C472" s="29"/>
      <c r="D472" s="29"/>
      <c r="E472" s="29"/>
      <c r="F472" s="29"/>
      <c r="G472" s="29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29"/>
      <c r="AB472" s="29"/>
      <c r="AC472" s="29"/>
      <c r="AD472" s="29"/>
      <c r="AE472" s="29"/>
      <c r="AF472" s="29"/>
      <c r="AG472" s="29"/>
      <c r="AH472" s="29"/>
      <c r="AI472" s="29"/>
      <c r="AJ472" s="29"/>
    </row>
    <row r="473" spans="1:36" x14ac:dyDescent="0.2">
      <c r="A473" s="29"/>
      <c r="B473" s="29"/>
      <c r="C473" s="29"/>
      <c r="D473" s="29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29"/>
      <c r="AB473" s="29"/>
      <c r="AC473" s="29"/>
      <c r="AD473" s="29"/>
      <c r="AE473" s="29"/>
      <c r="AF473" s="29"/>
      <c r="AG473" s="29"/>
      <c r="AH473" s="29"/>
      <c r="AI473" s="29"/>
      <c r="AJ473" s="29"/>
    </row>
    <row r="474" spans="1:36" x14ac:dyDescent="0.2">
      <c r="A474" s="29"/>
      <c r="B474" s="29"/>
      <c r="C474" s="29"/>
      <c r="D474" s="29"/>
      <c r="E474" s="29"/>
      <c r="F474" s="29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29"/>
      <c r="AB474" s="29"/>
      <c r="AC474" s="29"/>
      <c r="AD474" s="29"/>
      <c r="AE474" s="29"/>
      <c r="AF474" s="29"/>
      <c r="AG474" s="29"/>
      <c r="AH474" s="29"/>
      <c r="AI474" s="29"/>
      <c r="AJ474" s="29"/>
    </row>
    <row r="475" spans="1:36" x14ac:dyDescent="0.2">
      <c r="A475" s="29"/>
      <c r="B475" s="29"/>
      <c r="C475" s="29"/>
      <c r="D475" s="29"/>
      <c r="E475" s="29"/>
      <c r="F475" s="29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29"/>
      <c r="AH475" s="29"/>
      <c r="AI475" s="29"/>
      <c r="AJ475" s="29"/>
    </row>
    <row r="476" spans="1:36" x14ac:dyDescent="0.2">
      <c r="A476" s="29"/>
      <c r="B476" s="29"/>
      <c r="C476" s="29"/>
      <c r="D476" s="29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29"/>
      <c r="AB476" s="29"/>
      <c r="AC476" s="29"/>
      <c r="AD476" s="29"/>
      <c r="AE476" s="29"/>
      <c r="AF476" s="29"/>
      <c r="AG476" s="29"/>
      <c r="AH476" s="29"/>
      <c r="AI476" s="29"/>
      <c r="AJ476" s="29"/>
    </row>
    <row r="477" spans="1:36" x14ac:dyDescent="0.2">
      <c r="A477" s="29"/>
      <c r="B477" s="29"/>
      <c r="C477" s="29"/>
      <c r="D477" s="29"/>
      <c r="E477" s="29"/>
      <c r="F477" s="29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29"/>
      <c r="AB477" s="29"/>
      <c r="AC477" s="29"/>
      <c r="AD477" s="29"/>
      <c r="AE477" s="29"/>
      <c r="AF477" s="29"/>
      <c r="AG477" s="29"/>
      <c r="AH477" s="29"/>
      <c r="AI477" s="29"/>
      <c r="AJ477" s="29"/>
    </row>
    <row r="478" spans="1:36" x14ac:dyDescent="0.2">
      <c r="A478" s="29"/>
      <c r="B478" s="29"/>
      <c r="C478" s="29"/>
      <c r="D478" s="29"/>
      <c r="E478" s="29"/>
      <c r="F478" s="29"/>
      <c r="G478" s="29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29"/>
      <c r="AB478" s="29"/>
      <c r="AC478" s="29"/>
      <c r="AD478" s="29"/>
      <c r="AE478" s="29"/>
      <c r="AF478" s="29"/>
      <c r="AG478" s="29"/>
      <c r="AH478" s="29"/>
      <c r="AI478" s="29"/>
      <c r="AJ478" s="29"/>
    </row>
    <row r="479" spans="1:36" x14ac:dyDescent="0.2">
      <c r="A479" s="29"/>
      <c r="B479" s="29"/>
      <c r="C479" s="29"/>
      <c r="D479" s="29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29"/>
      <c r="AB479" s="29"/>
      <c r="AC479" s="29"/>
      <c r="AD479" s="29"/>
      <c r="AE479" s="29"/>
      <c r="AF479" s="29"/>
      <c r="AG479" s="29"/>
      <c r="AH479" s="29"/>
      <c r="AI479" s="29"/>
      <c r="AJ479" s="29"/>
    </row>
    <row r="480" spans="1:36" x14ac:dyDescent="0.2">
      <c r="A480" s="29"/>
      <c r="B480" s="29"/>
      <c r="C480" s="29"/>
      <c r="D480" s="29"/>
      <c r="E480" s="29"/>
      <c r="F480" s="29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29"/>
      <c r="AB480" s="29"/>
      <c r="AC480" s="29"/>
      <c r="AD480" s="29"/>
      <c r="AE480" s="29"/>
      <c r="AF480" s="29"/>
      <c r="AG480" s="29"/>
      <c r="AH480" s="29"/>
      <c r="AI480" s="29"/>
      <c r="AJ480" s="29"/>
    </row>
    <row r="481" spans="1:36" x14ac:dyDescent="0.2">
      <c r="A481" s="29"/>
      <c r="B481" s="29"/>
      <c r="C481" s="29"/>
      <c r="D481" s="29"/>
      <c r="E481" s="29"/>
      <c r="F481" s="29"/>
      <c r="G481" s="29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29"/>
      <c r="AB481" s="29"/>
      <c r="AC481" s="29"/>
      <c r="AD481" s="29"/>
      <c r="AE481" s="29"/>
      <c r="AF481" s="29"/>
      <c r="AG481" s="29"/>
      <c r="AH481" s="29"/>
      <c r="AI481" s="29"/>
      <c r="AJ481" s="29"/>
    </row>
    <row r="482" spans="1:36" x14ac:dyDescent="0.2">
      <c r="A482" s="29"/>
      <c r="B482" s="29"/>
      <c r="C482" s="29"/>
      <c r="D482" s="29"/>
      <c r="E482" s="29"/>
      <c r="F482" s="29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29"/>
      <c r="AB482" s="29"/>
      <c r="AC482" s="29"/>
      <c r="AD482" s="29"/>
      <c r="AE482" s="29"/>
      <c r="AF482" s="29"/>
      <c r="AG482" s="29"/>
      <c r="AH482" s="29"/>
      <c r="AI482" s="29"/>
      <c r="AJ482" s="29"/>
    </row>
    <row r="1048567" spans="2:16" x14ac:dyDescent="0.2">
      <c r="B1048567" s="49"/>
      <c r="C1048567" s="50"/>
      <c r="D1048567" s="49"/>
      <c r="E1048567" s="49"/>
      <c r="F1048567" s="49"/>
      <c r="G1048567" s="49"/>
      <c r="H1048567" s="49"/>
      <c r="I1048567" s="49"/>
      <c r="J1048567" s="49"/>
      <c r="K1048567" s="49"/>
      <c r="L1048567" s="49"/>
      <c r="M1048567" s="49"/>
      <c r="N1048567" s="49"/>
      <c r="O1048567" s="49"/>
      <c r="P1048567" s="49"/>
    </row>
    <row r="1048568" spans="2:16" x14ac:dyDescent="0.2">
      <c r="B1048568" s="51" t="e">
        <f>#REF!</f>
        <v>#REF!</v>
      </c>
      <c r="C1048568" s="51" t="e">
        <f>B1048568</f>
        <v>#REF!</v>
      </c>
      <c r="D1048568" s="50" t="e">
        <f>C1048568+C1048569+#REF!</f>
        <v>#REF!</v>
      </c>
      <c r="E1048568" s="50" t="e">
        <f>D1048568</f>
        <v>#REF!</v>
      </c>
      <c r="F1048568" s="49"/>
      <c r="G1048568" s="49"/>
      <c r="H1048568" s="49"/>
      <c r="I1048568" s="49"/>
      <c r="J1048568" s="49"/>
      <c r="K1048568" s="49"/>
      <c r="L1048568" s="49"/>
      <c r="M1048568" s="49"/>
      <c r="N1048568" s="49"/>
      <c r="O1048568" s="49"/>
      <c r="P1048568" s="49"/>
    </row>
    <row r="1048569" spans="2:16" x14ac:dyDescent="0.2">
      <c r="B1048569" s="52">
        <v>0</v>
      </c>
      <c r="C1048569" s="51" t="e">
        <f>#REF!</f>
        <v>#REF!</v>
      </c>
      <c r="D1048569" s="50" t="e">
        <f>-#REF!</f>
        <v>#REF!</v>
      </c>
      <c r="E1048569" s="50" t="e">
        <f>#REF!</f>
        <v>#REF!</v>
      </c>
      <c r="F1048569" s="50" t="e">
        <f>E1048569+E1048568</f>
        <v>#REF!</v>
      </c>
      <c r="G1048569" s="49"/>
      <c r="H1048569" s="49"/>
      <c r="I1048569" s="49"/>
      <c r="J1048569" s="49"/>
      <c r="K1048569" s="49"/>
      <c r="L1048569" s="49"/>
      <c r="M1048569" s="49"/>
      <c r="N1048569" s="49"/>
      <c r="O1048569" s="49"/>
      <c r="P1048569" s="49"/>
    </row>
    <row r="1048570" spans="2:16" x14ac:dyDescent="0.2">
      <c r="B1048570" s="49"/>
      <c r="C1048570" s="49"/>
      <c r="D1048570" s="49"/>
      <c r="E1048570" s="49"/>
      <c r="F1048570" s="49"/>
      <c r="G1048570" s="49"/>
      <c r="H1048570" s="49"/>
      <c r="I1048570" s="49"/>
      <c r="J1048570" s="49"/>
      <c r="K1048570" s="49"/>
      <c r="L1048570" s="49"/>
      <c r="M1048570" s="49"/>
      <c r="N1048570" s="49"/>
      <c r="O1048570" s="49"/>
      <c r="P1048570" s="49"/>
    </row>
    <row r="1048571" spans="2:16" ht="22.8" x14ac:dyDescent="0.2">
      <c r="B1048571" s="53" t="s">
        <v>267</v>
      </c>
      <c r="C1048571" s="54" t="s">
        <v>263</v>
      </c>
      <c r="D1048571" s="54" t="e">
        <f>#REF!</f>
        <v>#REF!</v>
      </c>
      <c r="E1048571" s="54" t="s">
        <v>268</v>
      </c>
      <c r="F1048571" s="49" t="s">
        <v>269</v>
      </c>
      <c r="G1048571" s="49"/>
      <c r="H1048571" s="49"/>
      <c r="I1048571" s="49"/>
      <c r="J1048571" s="49"/>
      <c r="K1048571" s="49"/>
      <c r="L1048571" s="49"/>
      <c r="M1048571" s="49"/>
      <c r="N1048571" s="49"/>
      <c r="O1048571" s="49"/>
      <c r="P1048571" s="49"/>
    </row>
    <row r="1048572" spans="2:16" x14ac:dyDescent="0.2">
      <c r="B1048572" s="49"/>
      <c r="C1048572" s="50"/>
    </row>
    <row r="1048573" spans="2:16" x14ac:dyDescent="0.2">
      <c r="B1048573" s="49"/>
      <c r="C1048573" s="50"/>
    </row>
    <row r="1048574" spans="2:16" x14ac:dyDescent="0.2">
      <c r="B1048574" s="49"/>
      <c r="C1048574" s="50"/>
    </row>
    <row r="1048575" spans="2:16" x14ac:dyDescent="0.2">
      <c r="B1048575" s="49"/>
      <c r="C1048575" s="50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2021-07-08T18:28:28Z</dcterms:modified>
</cp:coreProperties>
</file>